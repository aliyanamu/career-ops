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V Summary" sheetId="1" state="visible" r:id="rId1"/>
    <sheet name="Dashboard" sheetId="2" state="visible" r:id="rId2"/>
    <sheet name="Wishlist" sheetId="3" state="visible" r:id="rId3"/>
    <sheet name="Preparations" sheetId="4" state="visible" r:id="rId4"/>
    <sheet name="Applications" sheetId="5" state="visible" r:id="rId5"/>
    <sheet name="Companies" sheetId="6" state="visible" r:id="rId6"/>
    <sheet name="Status Legend" sheetId="7" state="visible" r:id="rId7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color rgb="FF000000"/>
      <sz val="10"/>
      <scheme val="minor"/>
    </font>
    <font>
      <b val="1"/>
      <color rgb="001F4E78"/>
      <sz val="18"/>
    </font>
    <font>
      <i val="1"/>
      <color rgb="00595959"/>
      <sz val="12"/>
    </font>
    <font>
      <b val="1"/>
    </font>
    <font>
      <b val="1"/>
      <color rgb="001F4E78"/>
      <sz val="13"/>
    </font>
    <font>
      <b val="1"/>
      <color rgb="00FFFFFF"/>
      <sz val="11"/>
    </font>
    <font>
      <b val="1"/>
      <color rgb="001F4E78"/>
      <sz val="14"/>
    </font>
    <font>
      <color rgb="000563C1"/>
      <u val="single"/>
    </font>
    <font>
      <b val="1"/>
      <color rgb="00FFFFFF"/>
    </font>
  </fonts>
  <fills count="7">
    <fill>
      <patternFill/>
    </fill>
    <fill>
      <patternFill patternType="gray125"/>
    </fill>
    <fill>
      <patternFill/>
    </fill>
    <fill>
      <patternFill patternType="solid">
        <fgColor rgb="001F4E78"/>
        <bgColor rgb="001F4E78"/>
      </patternFill>
    </fill>
    <fill>
      <patternFill patternType="solid">
        <fgColor rgb="00B7E1CD"/>
        <bgColor rgb="00B7E1CD"/>
      </patternFill>
    </fill>
    <fill>
      <patternFill patternType="solid">
        <fgColor rgb="00FFF2CC"/>
        <bgColor rgb="00FFF2CC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2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1" fillId="2" borderId="0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top" wrapText="1"/>
    </xf>
    <xf numFmtId="0" fontId="7" fillId="2" borderId="0" pivotButton="0" quotePrefix="0" xfId="0"/>
    <xf numFmtId="0" fontId="1" fillId="2" borderId="1" pivotButton="0" quotePrefix="0" xfId="0"/>
    <xf numFmtId="0" fontId="1" fillId="4" borderId="0" pivotButton="0" quotePrefix="0" xfId="0"/>
    <xf numFmtId="0" fontId="8" fillId="4" borderId="0" pivotButton="0" quotePrefix="0" xfId="0"/>
    <xf numFmtId="0" fontId="8" fillId="2" borderId="0" pivotButton="0" quotePrefix="0" xfId="0"/>
    <xf numFmtId="0" fontId="1" fillId="4" borderId="0" applyAlignment="1" pivotButton="0" quotePrefix="0" xfId="0">
      <alignment vertical="bottom"/>
    </xf>
    <xf numFmtId="0" fontId="1" fillId="5" borderId="0" applyAlignment="1" pivotButton="0" quotePrefix="0" xfId="0">
      <alignment vertical="bottom"/>
    </xf>
    <xf numFmtId="0" fontId="8" fillId="5" borderId="0" pivotButton="0" quotePrefix="0" xfId="0"/>
    <xf numFmtId="0" fontId="1" fillId="5" borderId="0" pivotButton="0" quotePrefix="0" xfId="0"/>
    <xf numFmtId="0" fontId="1" fillId="2" borderId="0" applyAlignment="1" pivotButton="0" quotePrefix="0" xfId="0">
      <alignment vertical="bottom"/>
    </xf>
    <xf numFmtId="0" fontId="8" fillId="2" borderId="0" applyAlignment="1" pivotButton="0" quotePrefix="0" xfId="0">
      <alignment vertical="bottom"/>
    </xf>
    <xf numFmtId="0" fontId="0" fillId="2" borderId="0" applyAlignment="1" pivotButton="0" quotePrefix="0" xfId="0">
      <alignment vertical="top" wrapText="1"/>
    </xf>
    <xf numFmtId="0" fontId="9" fillId="6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8" fillId="2" borderId="1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dxfs count="31">
    <dxf>
      <font>
        <b val="1"/>
        <color rgb="FF555555"/>
      </font>
      <fill>
        <patternFill patternType="solid">
          <fgColor rgb="FFEEEEEE"/>
          <bgColor rgb="FFEEEEEE"/>
        </patternFill>
      </fill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b val="1"/>
        <color rgb="FF1F4E78"/>
      </font>
      <fill>
        <patternFill patternType="solid">
          <fgColor rgb="FFCCE5FF"/>
          <bgColor rgb="FFCCE5FF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b val="1"/>
        <color rgb="FFB45309"/>
      </font>
      <fill>
        <patternFill patternType="solid">
          <fgColor rgb="FFFFE0B2"/>
          <bgColor rgb="FFFFE0B2"/>
        </patternFill>
      </fill>
    </dxf>
    <dxf>
      <font>
        <b val="1"/>
        <color rgb="FF7F6000"/>
      </font>
      <fill>
        <patternFill patternType="solid">
          <fgColor rgb="FFFFEB9C"/>
          <bgColor rgb="FFFFEB9C"/>
        </patternFill>
      </fill>
    </dxf>
    <dxf>
      <font>
        <b val="1"/>
        <color rgb="FF38761D"/>
      </font>
      <fill>
        <patternFill patternType="solid">
          <fgColor rgb="FFD9EAD3"/>
          <bgColor rgb="FFD9EAD3"/>
        </patternFill>
      </fill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555555"/>
      </font>
      <fill>
        <patternFill patternType="solid">
          <fgColor rgb="FFEEEEEE"/>
          <bgColor rgb="FFEEEEE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b val="1"/>
        <color rgb="FF7F6000"/>
      </font>
      <fill>
        <patternFill patternType="solid">
          <fgColor rgb="FFFFEB9C"/>
          <bgColor rgb="FFFFEB9C"/>
        </patternFill>
      </fill>
    </dxf>
    <dxf>
      <font>
        <b val="1"/>
        <color rgb="FF1F4E78"/>
      </font>
      <fill>
        <patternFill patternType="solid">
          <fgColor rgb="FFCCE5FF"/>
          <bgColor rgb="FFCCE5FF"/>
        </patternFill>
      </fill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1F4E78"/>
      </font>
      <fill>
        <patternFill patternType="solid">
          <fgColor rgb="FFCCE5FF"/>
          <bgColor rgb="FFCCE5FF"/>
        </patternFill>
      </fill>
    </dxf>
    <dxf>
      <font>
        <b val="1"/>
        <color rgb="FF1F4E78"/>
      </font>
      <fill>
        <patternFill patternType="solid">
          <fgColor rgb="FFB7E1CD"/>
          <bgColor rgb="FFB7E1CD"/>
        </patternFill>
      </fill>
    </dxf>
    <dxf>
      <font>
        <b val="1"/>
        <color rgb="FF555555"/>
      </font>
      <fill>
        <patternFill patternType="solid">
          <fgColor rgb="FFEEEEEE"/>
          <bgColor rgb="FFEEEEEE"/>
        </patternFill>
      </fill>
    </dxf>
    <dxf>
      <font>
        <b val="1"/>
        <color rgb="FF555555"/>
      </font>
      <fill>
        <patternFill patternType="solid">
          <fgColor rgb="FFEEEEEE"/>
          <bgColor rgb="FFEEEEE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555555"/>
      </font>
      <fill>
        <patternFill patternType="solid">
          <fgColor rgb="FFEEEEEE"/>
          <bgColor rgb="FFEEEEEE"/>
        </patternFill>
      </fill>
    </dxf>
    <dxf>
      <font>
        <b val="1"/>
        <color rgb="FF1F4E78"/>
      </font>
      <fill>
        <patternFill patternType="solid">
          <fgColor rgb="FFCCE5FF"/>
          <bgColor rgb="FFCCE5FF"/>
        </patternFill>
      </fill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1F4E78"/>
      </font>
      <fill>
        <patternFill patternType="solid">
          <fgColor rgb="FFB7E1CD"/>
          <bgColor rgb="FFB7E1CD"/>
        </patternFill>
      </fill>
    </dxf>
    <dxf>
      <font>
        <b val="1"/>
        <color rgb="FF7F6000"/>
      </font>
      <fill>
        <patternFill patternType="solid">
          <fgColor rgb="FFFFF2CC"/>
          <bgColor rgb="FFFFF2CC"/>
        </patternFill>
      </fill>
    </dxf>
    <dxf>
      <font>
        <b val="1"/>
        <color rgb="FF7F6000"/>
      </font>
      <fill>
        <patternFill patternType="solid">
          <fgColor rgb="FFFFD966"/>
          <bgColor rgb="FFFFD966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b val="1"/>
        <color rgb="FF555555"/>
      </font>
      <fill>
        <patternFill patternType="solid">
          <fgColor rgb="FFEEEEEE"/>
          <bgColor rgb="FFEEEEE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jobs.lever.co/Espresso/bf359a02-5579-4d8b-a254-23c989f67af5" TargetMode="External" Id="rId1" /><Relationship Type="http://schemas.openxmlformats.org/officeDocument/2006/relationships/hyperlink" Target="https://careers.tether.io/o/backend-engineer-wallets-100-remote-29" TargetMode="External" Id="rId2" /><Relationship Type="http://schemas.openxmlformats.org/officeDocument/2006/relationships/hyperlink" Target="https://careers.tether.io/o/senior-frontend-developer-kyc-worldwide" TargetMode="External" Id="rId3" /><Relationship Type="http://schemas.openxmlformats.org/officeDocument/2006/relationships/hyperlink" Target="https://careers.tether.io/o/senior-fullstack-developer-100-remote-worldwide" TargetMode="External" Id="rId4" /><Relationship Type="http://schemas.openxmlformats.org/officeDocument/2006/relationships/hyperlink" Target="https://careers.tether.io/o/senior-backend-developer-croatia" TargetMode="External" Id="rId5" /><Relationship Type="http://schemas.openxmlformats.org/officeDocument/2006/relationships/hyperlink" Target="https://careers.tether.io/o/senior-backend-developer-sweden" TargetMode="External" Id="rId6" /><Relationship Type="http://schemas.openxmlformats.org/officeDocument/2006/relationships/hyperlink" Target="https://careers.tether.io/o/senior-frontend-developer-100-remote-hungria" TargetMode="External" Id="rId7" /><Relationship Type="http://schemas.openxmlformats.org/officeDocument/2006/relationships/hyperlink" Target="https://job-boards.greenhouse.io/gleanwork/jobs/4659229005" TargetMode="External" Id="rId8" /><Relationship Type="http://schemas.openxmlformats.org/officeDocument/2006/relationships/hyperlink" Target="https://job-boards.greenhouse.io/gleanwork/jobs/4012745005" TargetMode="External" Id="rId9" /><Relationship Type="http://schemas.openxmlformats.org/officeDocument/2006/relationships/hyperlink" Target="https://job-boards.greenhouse.io/gleanwork/jobs/4636739005" TargetMode="External" Id="rId10" /><Relationship Type="http://schemas.openxmlformats.org/officeDocument/2006/relationships/hyperlink" Target="https://job-boards.greenhouse.io/gleanwork/jobs/4436194005" TargetMode="External" Id="rId11" /><Relationship Type="http://schemas.openxmlformats.org/officeDocument/2006/relationships/hyperlink" Target="https://job-boards.greenhouse.io/gleanwork/jobs/4428090005" TargetMode="External" Id="rId12" /><Relationship Type="http://schemas.openxmlformats.org/officeDocument/2006/relationships/hyperlink" Target="https://careers.hellofresh.com/global/en/job/7408822?gh_jid=7408822" TargetMode="External" Id="rId13" /><Relationship Type="http://schemas.openxmlformats.org/officeDocument/2006/relationships/hyperlink" Target="https://careers.hellofresh.com/global/en/job/7653839?gh_jid=7653839" TargetMode="External" Id="rId14" /><Relationship Type="http://schemas.openxmlformats.org/officeDocument/2006/relationships/hyperlink" Target="https://careers.hellofresh.com/global/en/job/7824435?gh_jid=7824435" TargetMode="External" Id="rId15" /><Relationship Type="http://schemas.openxmlformats.org/officeDocument/2006/relationships/hyperlink" Target="https://careers.hellofresh.com/global/en/job/7757846?gh_jid=7757846" TargetMode="External" Id="rId16" /><Relationship Type="http://schemas.openxmlformats.org/officeDocument/2006/relationships/hyperlink" Target="https://careers.hellofresh.com/global/en/job/7618894?gh_jid=7618894" TargetMode="External" Id="rId17" /><Relationship Type="http://schemas.openxmlformats.org/officeDocument/2006/relationships/hyperlink" Target="https://helsing.ai/jobs/4126378101?gh_jid=4126378101" TargetMode="External" Id="rId18" /><Relationship Type="http://schemas.openxmlformats.org/officeDocument/2006/relationships/hyperlink" Target="https://helsing.ai/jobs/4741224101?gh_jid=4741224101" TargetMode="External" Id="rId19" /><Relationship Type="http://schemas.openxmlformats.org/officeDocument/2006/relationships/hyperlink" Target="https://helsing.ai/jobs/4741242101?gh_jid=4741242101" TargetMode="External" Id="rId20" /><Relationship Type="http://schemas.openxmlformats.org/officeDocument/2006/relationships/hyperlink" Target="https://helsing.ai/jobs/4729613101?gh_jid=4729613101" TargetMode="External" Id="rId21" /><Relationship Type="http://schemas.openxmlformats.org/officeDocument/2006/relationships/hyperlink" Target="https://careers.hootsuite.com/job/?gh_jid=7582752" TargetMode="External" Id="rId22" /><Relationship Type="http://schemas.openxmlformats.org/officeDocument/2006/relationships/hyperlink" Target="https://careers.hootsuite.com/job/?gh_jid=7851293" TargetMode="External" Id="rId23" /><Relationship Type="http://schemas.openxmlformats.org/officeDocument/2006/relationships/hyperlink" Target="https://careers.hootsuite.com/job/?gh_jid=7821814" TargetMode="External" Id="rId24" /><Relationship Type="http://schemas.openxmlformats.org/officeDocument/2006/relationships/hyperlink" Target="https://careers.hootsuite.com/job/?gh_jid=7741151" TargetMode="External" Id="rId25" /><Relationship Type="http://schemas.openxmlformats.org/officeDocument/2006/relationships/hyperlink" Target="https://job-boards.greenhouse.io/intercom/jobs/7556413" TargetMode="External" Id="rId26" /><Relationship Type="http://schemas.openxmlformats.org/officeDocument/2006/relationships/hyperlink" Target="https://job-boards.greenhouse.io/intercom/jobs/7774295" TargetMode="External" Id="rId27" /><Relationship Type="http://schemas.openxmlformats.org/officeDocument/2006/relationships/hyperlink" Target="https://job-boards.greenhouse.io/intercom/jobs/7274831" TargetMode="External" Id="rId28" /><Relationship Type="http://schemas.openxmlformats.org/officeDocument/2006/relationships/hyperlink" Target="https://job-boards.greenhouse.io/intercom/jobs/5082494" TargetMode="External" Id="rId29" /><Relationship Type="http://schemas.openxmlformats.org/officeDocument/2006/relationships/hyperlink" Target="https://job-boards.greenhouse.io/intercom/jobs/7371989" TargetMode="External" Id="rId30" /><Relationship Type="http://schemas.openxmlformats.org/officeDocument/2006/relationships/hyperlink" Target="https://jobs.ashbyhq.com/legora/98e93c0a-b4c9-4083-8037-9c83a22e5bec" TargetMode="External" Id="rId31" /><Relationship Type="http://schemas.openxmlformats.org/officeDocument/2006/relationships/hyperlink" Target="https://jobs.ashbyhq.com/legora/e1b04e64-3eff-4583-b083-dcebc754f80a" TargetMode="External" Id="rId32" /><Relationship Type="http://schemas.openxmlformats.org/officeDocument/2006/relationships/hyperlink" Target="https://jobs.ashbyhq.com/legora/056d9fc6-431c-40b6-b6ff-3a147b23b5c8" TargetMode="External" Id="rId33" /><Relationship Type="http://schemas.openxmlformats.org/officeDocument/2006/relationships/hyperlink" Target="https://jobs.ashbyhq.com/legora/3fcdc6ba-e35f-470e-823e-7c4563c933a2" TargetMode="External" Id="rId34" /><Relationship Type="http://schemas.openxmlformats.org/officeDocument/2006/relationships/hyperlink" Target="https://jobs.ashbyhq.com/legora/9a04bbd8-0583-48de-9606-431c01079b8b" TargetMode="External" Id="rId35" /><Relationship Type="http://schemas.openxmlformats.org/officeDocument/2006/relationships/hyperlink" Target="https://jobs.ashbyhq.com/legora/f1ed20ac-add0-47f0-a6c5-2d6cf5149117" TargetMode="External" Id="rId36" /><Relationship Type="http://schemas.openxmlformats.org/officeDocument/2006/relationships/hyperlink" Target="https://jobs.ashbyhq.com/legora/f81a4b5e-7ef3-4946-a147-f6c0645e98ca" TargetMode="External" Id="rId37" /><Relationship Type="http://schemas.openxmlformats.org/officeDocument/2006/relationships/hyperlink" Target="https://jobs.ashbyhq.com/legora/e4ce19dc-e800-42cd-835f-dcc43b96d004" TargetMode="External" Id="rId38" /><Relationship Type="http://schemas.openxmlformats.org/officeDocument/2006/relationships/hyperlink" Target="https://jobs.ashbyhq.com/lovable/e54d33ea-5f02-48b6-b75e-76ae704af693" TargetMode="External" Id="rId39" /><Relationship Type="http://schemas.openxmlformats.org/officeDocument/2006/relationships/hyperlink" Target="https://jobs.ashbyhq.com/lovable/1f86955c-2748-4cd6-bd69-7e5c2c3fe465" TargetMode="External" Id="rId40" /><Relationship Type="http://schemas.openxmlformats.org/officeDocument/2006/relationships/hyperlink" Target="https://jobs.ashbyhq.com/lovable/e27e931e-79f3-483a-b543-57e42633ac5c" TargetMode="External" Id="rId41" /><Relationship Type="http://schemas.openxmlformats.org/officeDocument/2006/relationships/hyperlink" Target="https://jobs.ashbyhq.com/lovable/0d76fa8d-4aaa-41e2-b5d8-d316648bdff8" TargetMode="External" Id="rId42" /><Relationship Type="http://schemas.openxmlformats.org/officeDocument/2006/relationships/hyperlink" Target="https://jobs.ashbyhq.com/lovable/581951b9-537e-49d5-89fb-dd74cdf3256c" TargetMode="External" Id="rId43" /><Relationship Type="http://schemas.openxmlformats.org/officeDocument/2006/relationships/hyperlink" Target="https://jobs.ashbyhq.com/lovable/b9894757-c26b-4c5e-9ee8-3e18d9947fd6" TargetMode="External" Id="rId44" /><Relationship Type="http://schemas.openxmlformats.org/officeDocument/2006/relationships/hyperlink" Target="https://jobs.ashbyhq.com/lovable/920b4099-00bc-4d5e-9469-2c955ef3a662" TargetMode="External" Id="rId45" /><Relationship Type="http://schemas.openxmlformats.org/officeDocument/2006/relationships/hyperlink" Target="https://jobs.lever.co/mistral/aceffeba-c4e9-4b3b-adff-e7e78b986c5c" TargetMode="External" Id="rId46" /><Relationship Type="http://schemas.openxmlformats.org/officeDocument/2006/relationships/hyperlink" Target="https://jobs.lever.co/mistral/de237900-114c-4e39-aa19-671bb3201eee" TargetMode="External" Id="rId47" /><Relationship Type="http://schemas.openxmlformats.org/officeDocument/2006/relationships/hyperlink" Target="https://jobs.lever.co/mistral/64c9a48e-6d23-4090-bf0f-5a979830fbaf" TargetMode="External" Id="rId48" /><Relationship Type="http://schemas.openxmlformats.org/officeDocument/2006/relationships/hyperlink" Target="https://jobs.lever.co/mistral/df0d75c1-97ef-4e50-85e6-0ffd8f5b7d7c" TargetMode="External" Id="rId49" /><Relationship Type="http://schemas.openxmlformats.org/officeDocument/2006/relationships/hyperlink" Target="https://jobs.lever.co/mistral/305432ef-27ac-4012-a893-a662813ac6e9" TargetMode="External" Id="rId50" /><Relationship Type="http://schemas.openxmlformats.org/officeDocument/2006/relationships/hyperlink" Target="https://jobs.lever.co/mistral/77b8339f-da37-4f38-b554-1d154f72ca8f" TargetMode="External" Id="rId51" /><Relationship Type="http://schemas.openxmlformats.org/officeDocument/2006/relationships/hyperlink" Target="https://jobs.lever.co/mistral/f2e8ba75-bf5a-4976-bb96-c5d3e0f99366" TargetMode="External" Id="rId52" /><Relationship Type="http://schemas.openxmlformats.org/officeDocument/2006/relationships/hyperlink" Target="https://jobs.lever.co/mistral/e76d2957-2bf6-4d8f-90a2-29bf9a927823" TargetMode="External" Id="rId53" /><Relationship Type="http://schemas.openxmlformats.org/officeDocument/2006/relationships/hyperlink" Target="https://jobs.lever.co/mistral/31364497-4081-454a-b50c-12d15daf6876" TargetMode="External" Id="rId54" /><Relationship Type="http://schemas.openxmlformats.org/officeDocument/2006/relationships/hyperlink" Target="https://jobs.lever.co/mistral/c9e16eb0-0cb9-423d-8495-a96d10782622" TargetMode="External" Id="rId55" /><Relationship Type="http://schemas.openxmlformats.org/officeDocument/2006/relationships/hyperlink" Target="https://jobs.lever.co/mistral/3eef7a1f-cd9d-430e-ac67-9d52534c346a" TargetMode="External" Id="rId56" /><Relationship Type="http://schemas.openxmlformats.org/officeDocument/2006/relationships/hyperlink" Target="https://jobs.lever.co/mistral/70d5293a-9183-40d9-874a-cc08a14d5de6" TargetMode="External" Id="rId57" /><Relationship Type="http://schemas.openxmlformats.org/officeDocument/2006/relationships/hyperlink" Target="https://jobs.lever.co/mistral/03918386-cb56-4e4d-afa8-1f8b7676a4a6" TargetMode="External" Id="rId58" /><Relationship Type="http://schemas.openxmlformats.org/officeDocument/2006/relationships/hyperlink" Target="https://n26.com/en-eu/careers/positions/7686804?gh_jid=7686804" TargetMode="External" Id="rId59" /><Relationship Type="http://schemas.openxmlformats.org/officeDocument/2006/relationships/hyperlink" Target="https://n26.com/en-eu/careers/positions/7811482?gh_jid=7811482" TargetMode="External" Id="rId60" /><Relationship Type="http://schemas.openxmlformats.org/officeDocument/2006/relationships/hyperlink" Target="https://n26.com/en-eu/careers/positions/7577884?gh_jid=7577884" TargetMode="External" Id="rId61" /><Relationship Type="http://schemas.openxmlformats.org/officeDocument/2006/relationships/hyperlink" Target="https://n26.com/en-eu/careers/positions/7140058?gh_jid=7140058" TargetMode="External" Id="rId62" /><Relationship Type="http://schemas.openxmlformats.org/officeDocument/2006/relationships/hyperlink" Target="https://jobs.ashbyhq.com/n8n/896c58a8-0388-4037-b265-82b15633a568" TargetMode="External" Id="rId63" /><Relationship Type="http://schemas.openxmlformats.org/officeDocument/2006/relationships/hyperlink" Target="https://jobs.lever.co/pigment/4c49978c-2aff-45cb-add9-921c8fc41b2b" TargetMode="External" Id="rId64" /><Relationship Type="http://schemas.openxmlformats.org/officeDocument/2006/relationships/hyperlink" Target="https://jobs.lever.co/pigment/bbb9ea1a-fbb2-44ca-9195-770199323725" TargetMode="External" Id="rId65" /><Relationship Type="http://schemas.openxmlformats.org/officeDocument/2006/relationships/hyperlink" Target="https://jobs.lever.co/pigment/d41c13a1-9fa5-4d4e-8f50-d3c10852c8e0" TargetMode="External" Id="rId66" /><Relationship Type="http://schemas.openxmlformats.org/officeDocument/2006/relationships/hyperlink" Target="https://jobs.lever.co/pigment/068f30f5-4343-4a85-ba52-a35ca2e2581f" TargetMode="External" Id="rId67" /><Relationship Type="http://schemas.openxmlformats.org/officeDocument/2006/relationships/hyperlink" Target="https://jobs.lever.co/pigment/cb04a184-0756-461c-b4b3-58f779a82b09" TargetMode="External" Id="rId68" /><Relationship Type="http://schemas.openxmlformats.org/officeDocument/2006/relationships/hyperlink" Target="https://jobs.lever.co/pigment/24e3e6d8-56a3-4917-acbe-ec85d0c8cf13" TargetMode="External" Id="rId69" /><Relationship Type="http://schemas.openxmlformats.org/officeDocument/2006/relationships/hyperlink" Target="https://jobs.lever.co/pigment/d4f42533-dabb-49c5-9846-24abbb3f61d8" TargetMode="External" Id="rId70" /><Relationship Type="http://schemas.openxmlformats.org/officeDocument/2006/relationships/hyperlink" Target="https://jobs.lever.co/qonto/21bf0ae1-b5b1-428a-b1e6-2cdb9476987e" TargetMode="External" Id="rId71" /><Relationship Type="http://schemas.openxmlformats.org/officeDocument/2006/relationships/hyperlink" Target="https://jobs.lever.co/qonto/5e9f184e-0785-41d3-9a41-28b4dc317c87" TargetMode="External" Id="rId72" /><Relationship Type="http://schemas.openxmlformats.org/officeDocument/2006/relationships/hyperlink" Target="https://jobs.lever.co/qonto/1f945bad-2c45-4ac1-be06-a219dc9e1a93" TargetMode="External" Id="rId73" /><Relationship Type="http://schemas.openxmlformats.org/officeDocument/2006/relationships/hyperlink" Target="https://wayve.firststage.co/jobs?gh_jid=8482674002" TargetMode="External" Id="rId74" /></Relationships>
</file>

<file path=xl/worksheets/_rels/sheet6.xml.rels><Relationships xmlns="http://schemas.openxmlformats.org/package/2006/relationships"><Relationship Type="http://schemas.openxmlformats.org/officeDocument/2006/relationships/hyperlink" Target="https://job-boards.greenhouse.io/anthropic" TargetMode="External" Id="rId1" /><Relationship Type="http://schemas.openxmlformats.org/officeDocument/2006/relationships/hyperlink" Target="https://openai.com/careers" TargetMode="External" Id="rId2" /><Relationship Type="http://schemas.openxmlformats.org/officeDocument/2006/relationships/hyperlink" Target="https://job-boards.eu.greenhouse.io/polyai" TargetMode="External" Id="rId3" /><Relationship Type="http://schemas.openxmlformats.org/officeDocument/2006/relationships/hyperlink" Target="https://job-boards.eu.greenhouse.io/parloa" TargetMode="External" Id="rId4" /><Relationship Type="http://schemas.openxmlformats.org/officeDocument/2006/relationships/hyperlink" Target="https://job-boards.greenhouse.io/intercom" TargetMode="External" Id="rId5" /><Relationship Type="http://schemas.openxmlformats.org/officeDocument/2006/relationships/hyperlink" Target="https://job-boards.greenhouse.io/humeai" TargetMode="External" Id="rId6" /><Relationship Type="http://schemas.openxmlformats.org/officeDocument/2006/relationships/hyperlink" Target="https://jobs.ashbyhq.com/elevenlabs" TargetMode="External" Id="rId7" /><Relationship Type="http://schemas.openxmlformats.org/officeDocument/2006/relationships/hyperlink" Target="https://jobs.ashbyhq.com/deepgram" TargetMode="External" Id="rId8" /><Relationship Type="http://schemas.openxmlformats.org/officeDocument/2006/relationships/hyperlink" Target="https://jobs.ashbyhq.com/vapi" TargetMode="External" Id="rId9" /><Relationship Type="http://schemas.openxmlformats.org/officeDocument/2006/relationships/hyperlink" Target="https://jobs.ashbyhq.com/bland" TargetMode="External" Id="rId10" /><Relationship Type="http://schemas.openxmlformats.org/officeDocument/2006/relationships/hyperlink" Target="https://retool.com/careers" TargetMode="External" Id="rId11" /><Relationship Type="http://schemas.openxmlformats.org/officeDocument/2006/relationships/hyperlink" Target="https://job-boards.greenhouse.io/airtable" TargetMode="External" Id="rId12" /><Relationship Type="http://schemas.openxmlformats.org/officeDocument/2006/relationships/hyperlink" Target="https://job-boards.greenhouse.io/vercel" TargetMode="External" Id="rId13" /><Relationship Type="http://schemas.openxmlformats.org/officeDocument/2006/relationships/hyperlink" Target="https://job-boards.greenhouse.io/temporal" TargetMode="External" Id="rId14" /><Relationship Type="http://schemas.openxmlformats.org/officeDocument/2006/relationships/hyperlink" Target="https://job-boards.greenhouse.io/arizeai" TargetMode="External" Id="rId15" /><Relationship Type="http://schemas.openxmlformats.org/officeDocument/2006/relationships/hyperlink" Target="https://job-boards.greenhouse.io/runpod" TargetMode="External" Id="rId16" /><Relationship Type="http://schemas.openxmlformats.org/officeDocument/2006/relationships/hyperlink" Target="https://job-boards.greenhouse.io/gleanwork" TargetMode="External" Id="rId17" /><Relationship Type="http://schemas.openxmlformats.org/officeDocument/2006/relationships/hyperlink" Target="https://job-boards.greenhouse.io/ada" TargetMode="External" Id="rId18" /><Relationship Type="http://schemas.openxmlformats.org/officeDocument/2006/relationships/hyperlink" Target="https://liveperson.com/company/careers" TargetMode="External" Id="rId19" /><Relationship Type="http://schemas.openxmlformats.org/officeDocument/2006/relationships/hyperlink" Target="https://jobs.ashbyhq.com/sierra" TargetMode="External" Id="rId20" /><Relationship Type="http://schemas.openxmlformats.org/officeDocument/2006/relationships/hyperlink" Target="https://jobs.ashbyhq.com/decagon" TargetMode="External" Id="rId21" /><Relationship Type="http://schemas.openxmlformats.org/officeDocument/2006/relationships/hyperlink" Target="https://www.talkdesk.com/careers" TargetMode="External" Id="rId22" /><Relationship Type="http://schemas.openxmlformats.org/officeDocument/2006/relationships/hyperlink" Target="https://www.twilio.com/en-us/company/jobs" TargetMode="External" Id="rId23" /><Relationship Type="http://schemas.openxmlformats.org/officeDocument/2006/relationships/hyperlink" Target="https://www.dialpad.com/careers" TargetMode="External" Id="rId24" /><Relationship Type="http://schemas.openxmlformats.org/officeDocument/2006/relationships/hyperlink" Target="https://www.gong.io/careers" TargetMode="External" Id="rId25" /><Relationship Type="http://schemas.openxmlformats.org/officeDocument/2006/relationships/hyperlink" Target="https://www.genesys.com/careers" TargetMode="External" Id="rId26" /><Relationship Type="http://schemas.openxmlformats.org/officeDocument/2006/relationships/hyperlink" Target="https://careers.salesforce.com" TargetMode="External" Id="rId27" /><Relationship Type="http://schemas.openxmlformats.org/officeDocument/2006/relationships/hyperlink" Target="https://langfuse.com/careers" TargetMode="External" Id="rId28" /><Relationship Type="http://schemas.openxmlformats.org/officeDocument/2006/relationships/hyperlink" Target="https://jobs.ashbyhq.com/lindy" TargetMode="External" Id="rId29" /><Relationship Type="http://schemas.openxmlformats.org/officeDocument/2006/relationships/hyperlink" Target="https://careers.cognigy.com" TargetMode="External" Id="rId30" /><Relationship Type="http://schemas.openxmlformats.org/officeDocument/2006/relationships/hyperlink" Target="https://job-boards.greenhouse.io/speechmatics" TargetMode="External" Id="rId31" /><Relationship Type="http://schemas.openxmlformats.org/officeDocument/2006/relationships/hyperlink" Target="https://jobs.ashbyhq.com/n8n" TargetMode="External" Id="rId32" /><Relationship Type="http://schemas.openxmlformats.org/officeDocument/2006/relationships/hyperlink" Target="https://jobs.ashbyhq.com/zapier" TargetMode="External" Id="rId33" /><Relationship Type="http://schemas.openxmlformats.org/officeDocument/2006/relationships/hyperlink" Target="https://www.make.com/en/careers" TargetMode="External" Id="rId34" /><Relationship Type="http://schemas.openxmlformats.org/officeDocument/2006/relationships/hyperlink" Target="https://job-boards.greenhouse.io/boomilp" TargetMode="External" Id="rId35" /><Relationship Type="http://schemas.openxmlformats.org/officeDocument/2006/relationships/hyperlink" Target="https://jobs.ashbyhq.com/cohere" TargetMode="External" Id="rId36" /><Relationship Type="http://schemas.openxmlformats.org/officeDocument/2006/relationships/hyperlink" Target="https://jobs.ashbyhq.com/langchain" TargetMode="External" Id="rId37" /><Relationship Type="http://schemas.openxmlformats.org/officeDocument/2006/relationships/hyperlink" Target="https://jobs.ashbyhq.com/pinecone" TargetMode="External" Id="rId38" /><Relationship Type="http://schemas.openxmlformats.org/officeDocument/2006/relationships/hyperlink" Target="https://jobs.lever.co/mistral" TargetMode="External" Id="rId39" /><Relationship Type="http://schemas.openxmlformats.org/officeDocument/2006/relationships/hyperlink" Target="https://jobs.lever.co/wandb" TargetMode="External" Id="rId40" /><Relationship Type="http://schemas.openxmlformats.org/officeDocument/2006/relationships/hyperlink" Target="https://jobs.lever.co/palantir" TargetMode="External" Id="rId41" /><Relationship Type="http://schemas.openxmlformats.org/officeDocument/2006/relationships/hyperlink" Target="https://job-boards.greenhouse.io/later" TargetMode="External" Id="rId42" /><Relationship Type="http://schemas.openxmlformats.org/officeDocument/2006/relationships/hyperlink" Target="https://job-boards.greenhouse.io/safariai" TargetMode="External" Id="rId43" /><Relationship Type="http://schemas.openxmlformats.org/officeDocument/2006/relationships/hyperlink" Target="https://job-boards.greenhouse.io/hootsuite" TargetMode="External" Id="rId44" /><Relationship Type="http://schemas.openxmlformats.org/officeDocument/2006/relationships/hyperlink" Target="https://jobs.ashbyhq.com/klue" TargetMode="External" Id="rId45" /><Relationship Type="http://schemas.openxmlformats.org/officeDocument/2006/relationships/hyperlink" Target="https://jobs.ashbyhq.com/glacis-ai" TargetMode="External" Id="rId46" /><Relationship Type="http://schemas.openxmlformats.org/officeDocument/2006/relationships/hyperlink" Target="https://jobs.lever.co/sanctuary" TargetMode="External" Id="rId47" /><Relationship Type="http://schemas.openxmlformats.org/officeDocument/2006/relationships/hyperlink" Target="https://apply.workable.com/semios/" TargetMode="External" Id="rId48" /><Relationship Type="http://schemas.openxmlformats.org/officeDocument/2006/relationships/hyperlink" Target="https://job-boards.greenhouse.io/factorial" TargetMode="External" Id="rId49" /><Relationship Type="http://schemas.openxmlformats.org/officeDocument/2006/relationships/hyperlink" Target="https://jobs.ashbyhq.com/attio" TargetMode="External" Id="rId50" /><Relationship Type="http://schemas.openxmlformats.org/officeDocument/2006/relationships/hyperlink" Target="https://jobs.ashbyhq.com/tinybird" TargetMode="External" Id="rId51" /><Relationship Type="http://schemas.openxmlformats.org/officeDocument/2006/relationships/hyperlink" Target="https://jobs.lever.co/clarity-ai" TargetMode="External" Id="rId52" /><Relationship Type="http://schemas.openxmlformats.org/officeDocument/2006/relationships/hyperlink" Target="https://jobs.ashbyhq.com/travelperk" TargetMode="External" Id="rId53" /><Relationship Type="http://schemas.openxmlformats.org/officeDocument/2006/relationships/hyperlink" Target="https://jobs.ashbyhq.com/AlephAlpha" TargetMode="External" Id="rId54" /><Relationship Type="http://schemas.openxmlformats.org/officeDocument/2006/relationships/hyperlink" Target="https://jobs.ashbyhq.com/DeepL" TargetMode="External" Id="rId55" /><Relationship Type="http://schemas.openxmlformats.org/officeDocument/2006/relationships/hyperlink" Target="https://job-boards.greenhouse.io/blackforestlabs" TargetMode="External" Id="rId56" /><Relationship Type="http://schemas.openxmlformats.org/officeDocument/2006/relationships/hyperlink" Target="https://job-boards.greenhouse.io/helsing" TargetMode="External" Id="rId57" /><Relationship Type="http://schemas.openxmlformats.org/officeDocument/2006/relationships/hyperlink" Target="https://job-boards.greenhouse.io/celonis" TargetMode="External" Id="rId58" /><Relationship Type="http://schemas.openxmlformats.org/officeDocument/2006/relationships/hyperlink" Target="https://job-boards.greenhouse.io/contentful" TargetMode="External" Id="rId59" /><Relationship Type="http://schemas.openxmlformats.org/officeDocument/2006/relationships/hyperlink" Target="https://job-boards.greenhouse.io/getyourguide" TargetMode="External" Id="rId60" /><Relationship Type="http://schemas.openxmlformats.org/officeDocument/2006/relationships/hyperlink" Target="https://job-boards.greenhouse.io/hellofresh" TargetMode="External" Id="rId61" /><Relationship Type="http://schemas.openxmlformats.org/officeDocument/2006/relationships/hyperlink" Target="https://job-boards.greenhouse.io/n26" TargetMode="External" Id="rId62" /><Relationship Type="http://schemas.openxmlformats.org/officeDocument/2006/relationships/hyperlink" Target="https://job-boards.greenhouse.io/traderepublicbank" TargetMode="External" Id="rId63" /><Relationship Type="http://schemas.openxmlformats.org/officeDocument/2006/relationships/hyperlink" Target="https://job-boards.greenhouse.io/sumup" TargetMode="External" Id="rId64" /><Relationship Type="http://schemas.openxmlformats.org/officeDocument/2006/relationships/hyperlink" Target="https://jobs.lever.co/qonto" TargetMode="External" Id="rId65" /><Relationship Type="http://schemas.openxmlformats.org/officeDocument/2006/relationships/hyperlink" Target="https://jobs.lever.co/forto" TargetMode="External" Id="rId66" /><Relationship Type="http://schemas.openxmlformats.org/officeDocument/2006/relationships/hyperlink" Target="https://jobs.ashbyhq.com/lakera.ai" TargetMode="External" Id="rId67" /><Relationship Type="http://schemas.openxmlformats.org/officeDocument/2006/relationships/hyperlink" Target="https://job-boards.greenhouse.io/scandit" TargetMode="External" Id="rId68" /><Relationship Type="http://schemas.openxmlformats.org/officeDocument/2006/relationships/hyperlink" Target="https://jobs.ashbyhq.com/cradlebio" TargetMode="External" Id="rId69" /><Relationship Type="http://schemas.openxmlformats.org/officeDocument/2006/relationships/hyperlink" Target="https://apply.workable.com/huggingface/" TargetMode="External" Id="rId70" /><Relationship Type="http://schemas.openxmlformats.org/officeDocument/2006/relationships/hyperlink" Target="https://jobs.ashbyhq.com/photoroom" TargetMode="External" Id="rId71" /><Relationship Type="http://schemas.openxmlformats.org/officeDocument/2006/relationships/hyperlink" Target="https://jobs.lever.co/pigment" TargetMode="External" Id="rId72" /><Relationship Type="http://schemas.openxmlformats.org/officeDocument/2006/relationships/hyperlink" Target="https://job-boards.greenhouse.io/wayve" TargetMode="External" Id="rId73" /><Relationship Type="http://schemas.openxmlformats.org/officeDocument/2006/relationships/hyperlink" Target="https://job-boards.greenhouse.io/isomorphiclabs" TargetMode="External" Id="rId74" /><Relationship Type="http://schemas.openxmlformats.org/officeDocument/2006/relationships/hyperlink" Target="https://job-boards.greenhouse.io/physicsx" TargetMode="External" Id="rId75" /><Relationship Type="http://schemas.openxmlformats.org/officeDocument/2006/relationships/hyperlink" Target="https://job-boards.greenhouse.io/stabilityai" TargetMode="External" Id="rId76" /><Relationship Type="http://schemas.openxmlformats.org/officeDocument/2006/relationships/hyperlink" Target="https://jobs.ashbyhq.com/synthesia" TargetMode="External" Id="rId77" /><Relationship Type="http://schemas.openxmlformats.org/officeDocument/2006/relationships/hyperlink" Target="https://jobs.ashbyhq.com/faculty" TargetMode="External" Id="rId78" /><Relationship Type="http://schemas.openxmlformats.org/officeDocument/2006/relationships/hyperlink" Target="https://jobs.ashbyhq.com/causaly" TargetMode="External" Id="rId79" /><Relationship Type="http://schemas.openxmlformats.org/officeDocument/2006/relationships/hyperlink" Target="https://jobs.ashbyhq.com/lovable" TargetMode="External" Id="rId80" /><Relationship Type="http://schemas.openxmlformats.org/officeDocument/2006/relationships/hyperlink" Target="https://jobs.ashbyhq.com/legora" TargetMode="External" Id="rId81" /><Relationship Type="http://schemas.openxmlformats.org/officeDocument/2006/relationships/hyperlink" Target="https://jobs.lever.co/spotify" TargetMode="External" Id="rId82" /><Relationship Type="http://schemas.openxmlformats.org/officeDocument/2006/relationships/hyperlink" Target="https://jobs.lever.co/vinted" TargetMode="External" Id="rId83" /><Relationship Type="http://schemas.openxmlformats.org/officeDocument/2006/relationships/hyperlink" Target="https://job-boards.greenhouse.io/amplemarket" TargetMode="External" Id="rId84" /><Relationship Type="http://schemas.openxmlformats.org/officeDocument/2006/relationships/hyperlink" Target="https://jobs.ashbyhq.com/perplexity" TargetMode="External" Id="rId85" /><Relationship Type="http://schemas.openxmlformats.org/officeDocument/2006/relationships/hyperlink" Target="https://jobs.ashbyhq.com/claylabs" TargetMode="External" Id="rId86" /><Relationship Type="http://schemas.openxmlformats.org/officeDocument/2006/relationships/hyperlink" Target="https://job-boards.greenhouse.io/runwayml" TargetMode="External" Id="rId87" /><Relationship Type="http://schemas.openxmlformats.org/officeDocument/2006/relationships/hyperlink" Target="https://job-boards.greenhouse.io/hightouch" TargetMode="External" Id="rId88" /><Relationship Type="http://schemas.openxmlformats.org/officeDocument/2006/relationships/hyperlink" Target="https://jobs.ashbyhq.com/workos" TargetMode="External" Id="rId89" /><Relationship Type="http://schemas.openxmlformats.org/officeDocument/2006/relationships/hyperlink" Target="https://jobs.ashbyhq.com/supabase" TargetMode="External" Id="rId90" /><Relationship Type="http://schemas.openxmlformats.org/officeDocument/2006/relationships/hyperlink" Target="https://jobs.ashbyhq.com/resend" TargetMode="External" Id="rId91" /><Relationship Type="http://schemas.openxmlformats.org/officeDocument/2006/relationships/hyperlink" Target="https://jobs.ashbyhq.com/clerk" TargetMode="External" Id="rId92" /><Relationship Type="http://schemas.openxmlformats.org/officeDocument/2006/relationships/hyperlink" Target="https://jobs.ashbyhq.com/inngest" TargetMode="External" Id="rId93" /><Relationship Type="http://schemas.openxmlformats.org/officeDocument/2006/relationships/hyperlink" Target="https://job-boards.greenhouse.io/planetscale" TargetMode="External" Id="rId94" /><Relationship Type="http://schemas.openxmlformats.org/officeDocument/2006/relationships/hyperlink" Target="https://www.getzep.com/careers" TargetMode="External" Id="rId95" /><Relationship Type="http://schemas.openxmlformats.org/officeDocument/2006/relationships/hyperlink" Target="https://www.getmaxim.ai/careers" TargetMode="External" Id="rId9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zoomScale="100" zoomScaleNormal="100" workbookViewId="0">
      <selection activeCell="A1" sqref="A1"/>
    </sheetView>
  </sheetViews>
  <sheetFormatPr baseColWidth="8" defaultRowHeight="15" outlineLevelRow="0"/>
  <cols>
    <col width="30" customWidth="1" style="1" min="1" max="1"/>
    <col width="22" customWidth="1" style="1" min="2" max="3"/>
    <col width="70" customWidth="1" style="1" min="4" max="4"/>
  </cols>
  <sheetData>
    <row r="1">
      <c r="A1" s="2" t="inlineStr">
        <is>
          <t>Hana Aliyah Mufidah</t>
        </is>
      </c>
    </row>
    <row r="2">
      <c r="A2" s="3" t="inlineStr">
        <is>
          <t>Full Stack Developer</t>
        </is>
      </c>
    </row>
    <row r="3">
      <c r="A3" s="1" t="n"/>
      <c r="B3" s="1" t="n"/>
      <c r="C3" s="1" t="n"/>
      <c r="D3" s="1" t="n"/>
    </row>
    <row r="4">
      <c r="A4" s="4" t="inlineStr">
        <is>
          <t>Location</t>
        </is>
      </c>
      <c r="B4" t="inlineStr">
        <is>
          <t>Yogyakarta, ID</t>
        </is>
      </c>
    </row>
    <row r="5">
      <c r="A5" s="4" t="inlineStr">
        <is>
          <t>Phone</t>
        </is>
      </c>
      <c r="B5" t="inlineStr">
        <is>
          <t>+62 858-1099-4772</t>
        </is>
      </c>
    </row>
    <row r="6">
      <c r="A6" s="4" t="inlineStr">
        <is>
          <t>Email</t>
        </is>
      </c>
      <c r="B6" t="inlineStr">
        <is>
          <t>aliyanamu@gmail.com</t>
        </is>
      </c>
    </row>
    <row r="7">
      <c r="A7" s="4" t="inlineStr">
        <is>
          <t>CV Source</t>
        </is>
      </c>
      <c r="B7" t="inlineStr">
        <is>
          <t>Hana_Aliyah_Mufidah.pdf (Nov 14, 2025)</t>
        </is>
      </c>
    </row>
    <row r="8">
      <c r="A8" s="1" t="n"/>
      <c r="B8" s="1" t="n"/>
      <c r="C8" s="1" t="n"/>
      <c r="D8" s="1" t="n"/>
    </row>
    <row r="9">
      <c r="A9" s="5" t="inlineStr">
        <is>
          <t>Summary</t>
        </is>
      </c>
      <c r="B9" s="1" t="n"/>
      <c r="C9" s="1" t="n"/>
      <c r="D9" s="1" t="n"/>
    </row>
    <row r="10" ht="75" customFormat="1" customHeight="1" s="1">
      <c r="A10" s="6" t="inlineStr">
        <is>
          <t>Highly motivated individual with experience in building scalable applications for work management and B2B payment systems (Web 2.5). Proficient in both front-end and back-end development using React.js, Next.js, Node.js, and AWS. Experienced in integrating traditional and blockchain-based payment systems, with a focus on crypto-to-fiat on-/off-ramp solutions.</t>
        </is>
      </c>
    </row>
    <row r="11">
      <c r="A11" s="1" t="n"/>
      <c r="B11" s="1" t="n"/>
      <c r="C11" s="1" t="n"/>
      <c r="D11" s="1" t="n"/>
    </row>
    <row r="12">
      <c r="A12" s="5" t="inlineStr">
        <is>
          <t>Professional Experience</t>
        </is>
      </c>
      <c r="B12" s="1" t="n"/>
      <c r="C12" s="1" t="n"/>
      <c r="D12" s="1" t="n"/>
    </row>
    <row r="13">
      <c r="A13" s="7" t="inlineStr">
        <is>
          <t>Role</t>
        </is>
      </c>
      <c r="B13" s="7" t="inlineStr">
        <is>
          <t>Company</t>
        </is>
      </c>
      <c r="C13" s="7" t="inlineStr">
        <is>
          <t>Period</t>
        </is>
      </c>
      <c r="D13" s="7" t="inlineStr">
        <is>
          <t>Highlights</t>
        </is>
      </c>
    </row>
    <row r="14" ht="75" customFormat="1" customHeight="1" s="1">
      <c r="A14" s="8" t="inlineStr">
        <is>
          <t>Mid-level Software Developer</t>
        </is>
      </c>
      <c r="B14" s="8" t="inlineStr">
        <is>
          <t>Nespay</t>
        </is>
      </c>
      <c r="C14" s="8" t="inlineStr">
        <is>
          <t>Apr 2025 - Present</t>
        </is>
      </c>
      <c r="D14" s="8" t="inlineStr">
        <is>
          <t>Core architecture, AWS auth, CI/CD (GitHub Actions on EC2); led Backoffice Dashboard (React/Next.js) + backend; wallet transactions, invoice mgmt, Xellar/Privy wallets; RPC + KYC (Sumsub, Kredibel); peer code reviews.</t>
        </is>
      </c>
    </row>
    <row r="15" ht="75" customFormat="1" customHeight="1" s="1">
      <c r="A15" s="8" t="inlineStr">
        <is>
          <t>Full Stack Software Engineer</t>
        </is>
      </c>
      <c r="B15" s="8" t="inlineStr">
        <is>
          <t>ION</t>
        </is>
      </c>
      <c r="C15" s="8" t="inlineStr">
        <is>
          <t>Feb 2020 - Dec 2024</t>
        </is>
      </c>
      <c r="D15" s="8" t="inlineStr">
        <is>
          <t>Maintained legacy + work management web apps; HRIS integration app; enhanced praise/endorsement w/ filters &amp; leaderboards; improved time-off + work timeline w/ bulk approvals &amp; public holidays; stabilized input components &amp; validation.</t>
        </is>
      </c>
    </row>
    <row r="16" ht="75" customFormat="1" customHeight="1" s="1">
      <c r="A16" s="8" t="inlineStr">
        <is>
          <t>Full Stack Web Developer</t>
        </is>
      </c>
      <c r="B16" s="8" t="inlineStr">
        <is>
          <t>Ultra Voucher</t>
        </is>
      </c>
      <c r="C16" s="8" t="inlineStr">
        <is>
          <t>Nov 2018 - Jan 2020</t>
        </is>
      </c>
      <c r="D16" s="8" t="inlineStr">
        <is>
          <t>Built dashboard apps for business needs; highlight: web app for generating digital voucher codes, tracking status, and generating reports — replaced manual Excel-based voucher tracking.</t>
        </is>
      </c>
    </row>
    <row r="17">
      <c r="A17" s="1" t="n"/>
      <c r="B17" s="1" t="n"/>
      <c r="C17" s="1" t="n"/>
      <c r="D17" s="1" t="n"/>
    </row>
    <row r="18">
      <c r="A18" s="5" t="inlineStr">
        <is>
          <t>Education</t>
        </is>
      </c>
      <c r="B18" s="1" t="n"/>
      <c r="C18" s="1" t="n"/>
      <c r="D18" s="1" t="n"/>
    </row>
    <row r="19">
      <c r="A19" t="inlineStr">
        <is>
          <t>B.S. Geophysical Engineering — Bandung Institute of Technology (Sep 2015)</t>
        </is>
      </c>
    </row>
    <row r="20">
      <c r="A20" t="inlineStr">
        <is>
          <t>Javascript Fullstack Immersive Program — Hacktiv8 (Nov 2018)</t>
        </is>
      </c>
    </row>
    <row r="21">
      <c r="A21" s="1" t="n"/>
      <c r="B21" s="1" t="n"/>
      <c r="C21" s="1" t="n"/>
      <c r="D21" s="1" t="n"/>
    </row>
    <row r="22">
      <c r="A22" s="5" t="inlineStr">
        <is>
          <t>Key Skills</t>
        </is>
      </c>
      <c r="B22" s="1" t="n"/>
      <c r="C22" s="1" t="n"/>
      <c r="D22" s="1" t="n"/>
    </row>
    <row r="23">
      <c r="A23" t="inlineStr">
        <is>
          <t>• Full stack JavaScript (Nest.js, Next.js, React.js, Node.js)</t>
        </is>
      </c>
    </row>
    <row r="24">
      <c r="A24" t="inlineStr">
        <is>
          <t>• Databases (MySQL, PostgreSQL, MongoDB, Neo4j, Elasticsearch, Redis)</t>
        </is>
      </c>
    </row>
    <row r="25">
      <c r="A25" t="inlineStr">
        <is>
          <t>• AWS cloud services</t>
        </is>
      </c>
    </row>
    <row r="26">
      <c r="A26" t="inlineStr">
        <is>
          <t>• DevOps (Docker, Ansible, Vagrant)</t>
        </is>
      </c>
    </row>
    <row r="27">
      <c r="A27" t="inlineStr">
        <is>
          <t>• End-to-end testing (Nightwatch, Selenium, Mocha)</t>
        </is>
      </c>
    </row>
    <row r="28">
      <c r="A28" t="inlineStr">
        <is>
          <t>• Blockchain / Web3 payment integrations (crypto-to-fiat on-/off-ramp)</t>
        </is>
      </c>
    </row>
    <row r="29">
      <c r="A29" s="1" t="n"/>
      <c r="B29" s="1" t="n"/>
      <c r="C29" s="1" t="n"/>
      <c r="D29" s="1" t="n"/>
    </row>
    <row r="30">
      <c r="A30" s="5" t="inlineStr">
        <is>
          <t>Accomplishments &amp; Certifications</t>
        </is>
      </c>
      <c r="B30" s="1" t="n"/>
      <c r="C30" s="1" t="n"/>
      <c r="D30" s="1" t="n"/>
    </row>
    <row r="31">
      <c r="A31" t="inlineStr">
        <is>
          <t>• 3rd place — DeFi Track, EDU Chain Hackathon (May 2025)</t>
        </is>
      </c>
    </row>
    <row r="32">
      <c r="A32" t="inlineStr">
        <is>
          <t>• AWS Certified Cloud Practitioner (Sep 2024)</t>
        </is>
      </c>
    </row>
    <row r="33">
      <c r="A33" t="inlineStr">
        <is>
          <t>• Languages: English (Professional), Korean (Conversational)</t>
        </is>
      </c>
    </row>
  </sheetData>
  <mergeCells count="18">
    <mergeCell ref="A1:D1"/>
    <mergeCell ref="A23:D23"/>
    <mergeCell ref="A27:D27"/>
    <mergeCell ref="B5:D5"/>
    <mergeCell ref="A31:D31"/>
    <mergeCell ref="A20:D20"/>
    <mergeCell ref="B4:D4"/>
    <mergeCell ref="A26:D26"/>
    <mergeCell ref="A25:D25"/>
    <mergeCell ref="A24:D24"/>
    <mergeCell ref="A2:D2"/>
    <mergeCell ref="A19:D19"/>
    <mergeCell ref="A33:D33"/>
    <mergeCell ref="A10:D10"/>
    <mergeCell ref="A28:D28"/>
    <mergeCell ref="B6:D6"/>
    <mergeCell ref="A32:D32"/>
    <mergeCell ref="B7:D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zoomScale="100" zoomScaleNormal="100" workbookViewId="0">
      <selection activeCell="A1" sqref="A1"/>
    </sheetView>
  </sheetViews>
  <sheetFormatPr baseColWidth="8" defaultRowHeight="15" outlineLevelRow="0"/>
  <cols>
    <col width="22" customWidth="1" style="1" min="1" max="1"/>
    <col width="10" customWidth="1" style="1" min="2" max="2"/>
    <col width="4" customWidth="1" style="1" min="3" max="3"/>
    <col width="26" customWidth="1" style="1" min="4" max="4"/>
    <col width="10" customWidth="1" style="1" min="5" max="5"/>
  </cols>
  <sheetData>
    <row r="1">
      <c r="A1" s="9" t="inlineStr">
        <is>
          <t>Job Hunting — Pipeline Overview</t>
        </is>
      </c>
      <c r="D1" s="1" t="n"/>
      <c r="E1" s="1" t="n"/>
    </row>
    <row r="2">
      <c r="A2" s="1" t="n"/>
      <c r="B2" s="1" t="n"/>
      <c r="C2" s="1" t="n"/>
      <c r="D2" s="1" t="n"/>
      <c r="E2" s="1" t="n"/>
    </row>
    <row r="3">
      <c r="A3" s="7" t="inlineStr">
        <is>
          <t>Status</t>
        </is>
      </c>
      <c r="B3" s="7" t="inlineStr">
        <is>
          <t>Count</t>
        </is>
      </c>
      <c r="C3" s="1" t="n"/>
      <c r="D3" s="7" t="inlineStr">
        <is>
          <t>Companies on radar</t>
        </is>
      </c>
      <c r="E3" s="7" t="inlineStr">
        <is>
          <t>Count</t>
        </is>
      </c>
    </row>
    <row r="4">
      <c r="A4" s="10" t="inlineStr">
        <is>
          <t>Wishlist</t>
        </is>
      </c>
      <c r="B4" s="10">
        <f>COUNTA(Wishlist!C2:C1000)</f>
        <v/>
      </c>
      <c r="C4" s="1" t="n"/>
      <c r="D4" s="10" t="inlineStr">
        <is>
          <t>Tracked (portals.yml)</t>
        </is>
      </c>
      <c r="E4" s="10">
        <f>COUNTA(Companies!B3:B98)</f>
        <v/>
      </c>
    </row>
    <row r="5">
      <c r="A5" s="10" t="inlineStr">
        <is>
          <t>Evaluated</t>
        </is>
      </c>
      <c r="B5" s="10">
        <f>COUNTIF(Applications!H:H,"Evaluated")</f>
        <v/>
      </c>
      <c r="C5" s="1" t="n"/>
      <c r="D5" s="10" t="inlineStr">
        <is>
          <t>Marked Interested</t>
        </is>
      </c>
      <c r="E5" s="10">
        <f>COUNTIF(Companies!F3:F98,"Interested")</f>
        <v/>
      </c>
    </row>
    <row r="6">
      <c r="A6" s="10" t="inlineStr">
        <is>
          <t>Applied</t>
        </is>
      </c>
      <c r="B6" s="10">
        <f>COUNTIF(Applications!H:H,"Applied")</f>
        <v/>
      </c>
      <c r="C6" s="1" t="n"/>
      <c r="D6" s="10" t="inlineStr">
        <is>
          <t>Marked Applied</t>
        </is>
      </c>
      <c r="E6" s="10">
        <f>COUNTIF(Companies!F3:F98,"Applied")</f>
        <v/>
      </c>
    </row>
    <row r="7">
      <c r="A7" s="10" t="inlineStr">
        <is>
          <t>Responded</t>
        </is>
      </c>
      <c r="B7" s="10">
        <f>COUNTIF(Applications!H:H,"Responded")</f>
        <v/>
      </c>
      <c r="C7" s="1" t="n"/>
      <c r="D7" s="10" t="inlineStr">
        <is>
          <t>Marked Watching</t>
        </is>
      </c>
      <c r="E7" s="10">
        <f>COUNTIF(Companies!F3:F98,"Watching")</f>
        <v/>
      </c>
    </row>
    <row r="8">
      <c r="A8" s="10" t="inlineStr">
        <is>
          <t>Interview</t>
        </is>
      </c>
      <c r="B8" s="10">
        <f>COUNTIF(Applications!H:H,"Interview")</f>
        <v/>
      </c>
      <c r="C8" s="1" t="n"/>
      <c r="D8" s="1" t="n"/>
      <c r="E8" s="1" t="n"/>
    </row>
    <row r="9">
      <c r="A9" s="10" t="inlineStr">
        <is>
          <t>Offer</t>
        </is>
      </c>
      <c r="B9" s="10">
        <f>COUNTIF(Applications!H:H,"Offer")</f>
        <v/>
      </c>
      <c r="C9" s="1" t="n"/>
      <c r="D9" s="1" t="n"/>
      <c r="E9" s="1" t="n"/>
    </row>
    <row r="10">
      <c r="A10" s="10" t="inlineStr">
        <is>
          <t>Rejected</t>
        </is>
      </c>
      <c r="B10" s="10">
        <f>COUNTIF(Applications!H:H,"Rejected")</f>
        <v/>
      </c>
      <c r="C10" s="1" t="n"/>
      <c r="D10" s="1" t="n"/>
      <c r="E10" s="1" t="n"/>
    </row>
    <row r="11">
      <c r="A11" s="10" t="inlineStr">
        <is>
          <t>Discarded</t>
        </is>
      </c>
      <c r="B11" s="10">
        <f>COUNTIF(Applications!H:H,"Discarded")</f>
        <v/>
      </c>
      <c r="C11" s="1" t="n"/>
      <c r="D11" s="1" t="n"/>
      <c r="E11" s="1" t="n"/>
    </row>
    <row r="12">
      <c r="A12" s="10" t="inlineStr">
        <is>
          <t>SKIP</t>
        </is>
      </c>
      <c r="B12" s="10">
        <f>COUNTIF(Applications!H:H,"SKIP")</f>
        <v/>
      </c>
      <c r="C12" s="1" t="n"/>
      <c r="D12" s="1" t="n"/>
      <c r="E12" s="1" t="n"/>
    </row>
    <row r="13">
      <c r="A13" s="4" t="inlineStr">
        <is>
          <t>TOTAL applications</t>
        </is>
      </c>
      <c r="B13" s="4">
        <f>COUNTA(Applications!C2:C1000)</f>
        <v/>
      </c>
      <c r="C13" s="1" t="n"/>
      <c r="D13" s="1" t="n"/>
      <c r="E13" s="1" t="n"/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7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5" customWidth="1" style="1" min="1" max="1"/>
    <col width="12" customWidth="1" style="1" min="2" max="2"/>
    <col width="22" customWidth="1" style="1" min="3" max="3"/>
    <col width="28" customWidth="1" style="1" min="4" max="4"/>
    <col width="35" customWidth="1" style="1" min="5" max="5"/>
    <col width="16" customWidth="1" style="1" min="6" max="6"/>
    <col width="22" customWidth="1" style="1" min="7" max="7"/>
    <col width="14" customWidth="1" style="1" min="8" max="8"/>
    <col width="12" customWidth="1" style="1" min="9" max="9"/>
    <col width="16" customWidth="1" style="1" min="10" max="10"/>
    <col width="40" customWidth="1" style="1" min="11" max="11"/>
  </cols>
  <sheetData>
    <row r="1">
      <c r="A1" s="7" t="inlineStr">
        <is>
          <t>#</t>
        </is>
      </c>
      <c r="B1" s="7" t="inlineStr">
        <is>
          <t>Date Added</t>
        </is>
      </c>
      <c r="C1" s="7" t="inlineStr">
        <is>
          <t>Company</t>
        </is>
      </c>
      <c r="D1" s="7" t="inlineStr">
        <is>
          <t>Role</t>
        </is>
      </c>
      <c r="E1" s="7" t="inlineStr">
        <is>
          <t>Job URL</t>
        </is>
      </c>
      <c r="F1" s="7" t="inlineStr">
        <is>
          <t>Source</t>
        </is>
      </c>
      <c r="G1" s="7" t="inlineStr">
        <is>
          <t>Work Eligibility</t>
        </is>
      </c>
      <c r="H1" s="7" t="inlineStr">
        <is>
          <t>Why Interested</t>
        </is>
      </c>
      <c r="I1" s="7" t="inlineStr">
        <is>
          <t>Fit Score (1-5)</t>
        </is>
      </c>
      <c r="J1" s="7" t="inlineStr">
        <is>
          <t>Deadline</t>
        </is>
      </c>
      <c r="K1" s="7" t="inlineStr">
        <is>
          <t>Decision</t>
        </is>
      </c>
      <c r="L1" s="7" t="inlineStr">
        <is>
          <t>Notes</t>
        </is>
      </c>
    </row>
    <row r="2">
      <c r="A2" s="11">
        <f>ROW()-1</f>
        <v/>
      </c>
      <c r="B2" s="11" t="inlineStr">
        <is>
          <t>2026-05-06</t>
        </is>
      </c>
      <c r="C2" s="11" t="inlineStr">
        <is>
          <t>Espresso Systems</t>
        </is>
      </c>
      <c r="D2" s="11" t="inlineStr">
        <is>
          <t>Software Engineer, Infrastructure</t>
        </is>
      </c>
      <c r="E2" s="12" t="inlineStr">
        <is>
          <t>https://jobs.lever.co/Espresso/bf359a02-5579-4d8b-a254-23c989f67af5</t>
        </is>
      </c>
      <c r="F2" s="11" t="inlineStr">
        <is>
          <t>User-added (Lever)</t>
        </is>
      </c>
      <c r="G2" s="1" t="n"/>
      <c r="H2" s="11" t="inlineStr">
        <is>
          <t>WEB3 • USER PICK • Rust-preferred (C++/Haskell ok)</t>
        </is>
      </c>
      <c r="I2" s="11" t="n">
        <v>5</v>
      </c>
      <c r="J2" s="11" t="n"/>
      <c r="K2" s="11" t="inlineStr">
        <is>
          <t>1. Apply</t>
        </is>
      </c>
      <c r="L2" s="11" t="inlineStr">
        <is>
          <t>Loc: Remote (global) | Rust preferred (not required)</t>
        </is>
      </c>
    </row>
    <row r="3">
      <c r="A3" s="1">
        <f>ROW()-1</f>
        <v/>
      </c>
      <c r="B3" s="1" t="inlineStr">
        <is>
          <t>2026-05-06</t>
        </is>
      </c>
      <c r="C3" s="1" t="inlineStr">
        <is>
          <t>Tether</t>
        </is>
      </c>
      <c r="D3" s="1" t="inlineStr">
        <is>
          <t>Backend Engineer - Wallets (100% Remote)</t>
        </is>
      </c>
      <c r="E3" s="13" t="inlineStr">
        <is>
          <t>https://careers.tether.io/o/backend-engineer-wallets-100-remote-29</t>
        </is>
      </c>
      <c r="F3" s="1" t="inlineStr">
        <is>
          <t>User-added (Tether careers)</t>
        </is>
      </c>
      <c r="G3" s="1" t="n"/>
      <c r="H3" s="1" t="inlineStr">
        <is>
          <t>WEB3 • USDT issuer • SAME-TZ ⭐</t>
        </is>
      </c>
      <c r="I3" s="1" t="n">
        <v>5</v>
      </c>
      <c r="J3" s="1" t="n"/>
      <c r="K3" s="1" t="inlineStr">
        <is>
          <t>1. Apply</t>
        </is>
      </c>
      <c r="L3" s="1" t="inlineStr">
        <is>
          <t>Loc: VN | verify: GLOBAL_OK (JSON-LD)</t>
        </is>
      </c>
    </row>
    <row r="4">
      <c r="A4" s="1">
        <f>ROW()-1</f>
        <v/>
      </c>
      <c r="B4" s="1" t="inlineStr">
        <is>
          <t>2026-05-06</t>
        </is>
      </c>
      <c r="C4" s="1" t="inlineStr">
        <is>
          <t>Tether</t>
        </is>
      </c>
      <c r="D4" s="1" t="inlineStr">
        <is>
          <t>Senior Frontend Developer (100% Remote Worldwide)</t>
        </is>
      </c>
      <c r="E4" s="13" t="inlineStr">
        <is>
          <t>https://careers.tether.io/o/senior-frontend-developer-kyc-worldwide</t>
        </is>
      </c>
      <c r="F4" s="1" t="inlineStr">
        <is>
          <t>User-added (Tether careers)</t>
        </is>
      </c>
      <c r="G4" s="1" t="n"/>
      <c r="H4" s="1" t="inlineStr">
        <is>
          <t>WEB3 • USDT issuer • SAME-TZ ⭐</t>
        </is>
      </c>
      <c r="I4" s="1" t="n">
        <v>5</v>
      </c>
      <c r="J4" s="1" t="n"/>
      <c r="K4" s="1" t="inlineStr">
        <is>
          <t>1. Apply</t>
        </is>
      </c>
      <c r="L4" s="1" t="inlineStr">
        <is>
          <t>Loc: AE,CZ,EG,ES,HR,IN,IT,MY,NL,VN | verify: GLOBAL_OK (JSON-LD)</t>
        </is>
      </c>
    </row>
    <row r="5">
      <c r="A5" s="1">
        <f>ROW()-1</f>
        <v/>
      </c>
      <c r="B5" s="1" t="inlineStr">
        <is>
          <t>2026-05-06</t>
        </is>
      </c>
      <c r="C5" s="1" t="inlineStr">
        <is>
          <t>Tether</t>
        </is>
      </c>
      <c r="D5" s="1" t="inlineStr">
        <is>
          <t>Senior Fullstack Developer (100% remote Worldwide)</t>
        </is>
      </c>
      <c r="E5" s="13" t="inlineStr">
        <is>
          <t>https://careers.tether.io/o/senior-fullstack-developer-100-remote-worldwide</t>
        </is>
      </c>
      <c r="F5" s="1" t="inlineStr">
        <is>
          <t>User-added (Tether careers)</t>
        </is>
      </c>
      <c r="G5" s="1" t="n"/>
      <c r="H5" s="1" t="inlineStr">
        <is>
          <t>WEB3 • USDT issuer</t>
        </is>
      </c>
      <c r="I5" s="1" t="n">
        <v>5</v>
      </c>
      <c r="J5" s="1" t="n"/>
      <c r="K5" s="1" t="inlineStr">
        <is>
          <t>1. Apply</t>
        </is>
      </c>
      <c r="L5" s="1" t="inlineStr">
        <is>
          <t>Loc: AE,CH,ES,GR,IN,IT,NG,NL | verify: GLOBAL_OK (JSON-LD)</t>
        </is>
      </c>
    </row>
    <row r="6">
      <c r="A6" s="1">
        <f>ROW()-1</f>
        <v/>
      </c>
      <c r="B6" s="1" t="inlineStr">
        <is>
          <t>2026-05-06</t>
        </is>
      </c>
      <c r="C6" s="1" t="inlineStr">
        <is>
          <t>Tether</t>
        </is>
      </c>
      <c r="D6" s="1" t="inlineStr">
        <is>
          <t>Senior Backend Developer</t>
        </is>
      </c>
      <c r="E6" s="13" t="inlineStr">
        <is>
          <t>https://careers.tether.io/o/senior-backend-developer-norway</t>
        </is>
      </c>
      <c r="F6" s="1" t="inlineStr">
        <is>
          <t>User-added (Tether careers)</t>
        </is>
      </c>
      <c r="G6" s="1" t="n"/>
      <c r="H6" s="1" t="inlineStr">
        <is>
          <t>WEB3 • USDT issuer</t>
        </is>
      </c>
      <c r="I6" s="1" t="n">
        <v>5</v>
      </c>
      <c r="J6" s="1" t="n"/>
      <c r="K6" s="1" t="inlineStr">
        <is>
          <t>3. Saved</t>
        </is>
      </c>
      <c r="L6" s="1" t="inlineStr">
        <is>
          <t>Loc: NO | verify: GLOBAL_OK (JSON-LD)</t>
        </is>
      </c>
    </row>
    <row r="7">
      <c r="A7" s="1">
        <f>ROW()-1</f>
        <v/>
      </c>
      <c r="B7" s="1" t="inlineStr">
        <is>
          <t>2026-05-06</t>
        </is>
      </c>
      <c r="C7" s="1" t="inlineStr">
        <is>
          <t>Tether</t>
        </is>
      </c>
      <c r="D7" s="1" t="inlineStr">
        <is>
          <t>Senior Backend Developer</t>
        </is>
      </c>
      <c r="E7" s="13" t="inlineStr">
        <is>
          <t>https://careers.tether.io/o/senior-backend-developer-sweden</t>
        </is>
      </c>
      <c r="F7" s="1" t="inlineStr">
        <is>
          <t>User-added (Tether careers)</t>
        </is>
      </c>
      <c r="G7" s="1" t="n"/>
      <c r="H7" s="1" t="inlineStr">
        <is>
          <t>WEB3 • USDT issuer</t>
        </is>
      </c>
      <c r="I7" s="1" t="n">
        <v>5</v>
      </c>
      <c r="J7" s="1" t="n"/>
      <c r="K7" s="1" t="inlineStr">
        <is>
          <t>3. Saved</t>
        </is>
      </c>
      <c r="L7" s="1" t="inlineStr">
        <is>
          <t>Loc: SE | verify: GLOBAL_OK (JSON-LD)</t>
        </is>
      </c>
    </row>
    <row r="8">
      <c r="A8" s="1">
        <f>ROW()-1</f>
        <v/>
      </c>
      <c r="B8" s="1" t="inlineStr">
        <is>
          <t>2026-05-06</t>
        </is>
      </c>
      <c r="C8" s="1" t="inlineStr">
        <is>
          <t>Tether</t>
        </is>
      </c>
      <c r="D8" s="1" t="inlineStr">
        <is>
          <t>Senior Frontend Developer (100% remote)</t>
        </is>
      </c>
      <c r="E8" s="13" t="inlineStr">
        <is>
          <t>https://careers.tether.io/o/senior-frontend-developer-100-remote-hungria</t>
        </is>
      </c>
      <c r="F8" s="1" t="inlineStr">
        <is>
          <t>User-added (Tether careers)</t>
        </is>
      </c>
      <c r="G8" s="1" t="n"/>
      <c r="H8" s="1" t="inlineStr">
        <is>
          <t>WEB3 • USDT issuer</t>
        </is>
      </c>
      <c r="I8" s="1" t="n">
        <v>5</v>
      </c>
      <c r="J8" s="1" t="n"/>
      <c r="K8" s="1" t="inlineStr">
        <is>
          <t>3. Saved</t>
        </is>
      </c>
      <c r="L8" s="1" t="inlineStr">
        <is>
          <t>Loc: IT | verify: GLOBAL_OK (JSON-LD)</t>
        </is>
      </c>
    </row>
    <row r="9">
      <c r="A9" s="14">
        <f>ROW()-1</f>
        <v/>
      </c>
      <c r="B9" s="14" t="inlineStr">
        <is>
          <t>2026-05-06</t>
        </is>
      </c>
      <c r="C9" s="14" t="inlineStr">
        <is>
          <t>Supabase</t>
        </is>
      </c>
      <c r="D9" s="14" t="inlineStr">
        <is>
          <t>Software Engineer - Support Tooling (APAC/AMER)</t>
        </is>
      </c>
      <c r="E9" s="12" t="inlineStr">
        <is>
          <t>https://jobs.ashbyhq.com/supabase/2ed5e80d-438b-47a5-9efe-12d168b8de81</t>
        </is>
      </c>
      <c r="F9" s="14" t="inlineStr">
        <is>
          <t>career-ops scan</t>
        </is>
      </c>
      <c r="G9" s="1" t="n"/>
      <c r="H9" s="14" t="inlineStr">
        <is>
          <t>GLOBAL-verified • Tier A</t>
        </is>
      </c>
      <c r="I9" s="14" t="n">
        <v>5</v>
      </c>
      <c r="J9" s="11" t="n"/>
      <c r="K9" s="14" t="inlineStr">
        <is>
          <t>4. Pending</t>
        </is>
      </c>
      <c r="L9" s="14" t="inlineStr">
        <is>
          <t>Loc:  | verify: GLOBAL_OK</t>
        </is>
      </c>
    </row>
    <row r="10">
      <c r="A10" s="15">
        <f>ROW()-1</f>
        <v/>
      </c>
      <c r="B10" s="15" t="inlineStr">
        <is>
          <t>2026-05-06</t>
        </is>
      </c>
      <c r="C10" s="15" t="inlineStr">
        <is>
          <t>n8n</t>
        </is>
      </c>
      <c r="D10" s="15" t="inlineStr">
        <is>
          <t>Sr AI Engineer</t>
        </is>
      </c>
      <c r="E10" s="16" t="inlineStr">
        <is>
          <t>https://jobs.ashbyhq.com/n8n/d195a389-6af5-4b95-82e5-2258953c7297</t>
        </is>
      </c>
      <c r="F10" s="15" t="inlineStr">
        <is>
          <t>career-ops scan</t>
        </is>
      </c>
      <c r="G10" s="1" t="n"/>
      <c r="H10" s="15" t="inlineStr">
        <is>
          <t>REMOTE-unverified • Tier A</t>
        </is>
      </c>
      <c r="I10" s="15" t="n">
        <v>4</v>
      </c>
      <c r="J10" s="17" t="n"/>
      <c r="K10" s="15" t="inlineStr">
        <is>
          <t>4. Pending</t>
        </is>
      </c>
      <c r="L10" s="15" t="inlineStr">
        <is>
          <t>Loc: Remote - Europe | TS/Vue/NodeJS | verify: unclear</t>
        </is>
      </c>
    </row>
    <row r="11">
      <c r="A11" s="15">
        <f>ROW()-1</f>
        <v/>
      </c>
      <c r="B11" s="15" t="inlineStr">
        <is>
          <t>2026-05-06</t>
        </is>
      </c>
      <c r="C11" s="15" t="inlineStr">
        <is>
          <t>n8n</t>
        </is>
      </c>
      <c r="D11" s="15" t="inlineStr">
        <is>
          <t>Sr Cloud Engineer</t>
        </is>
      </c>
      <c r="E11" s="16" t="inlineStr">
        <is>
          <t>https://jobs.ashbyhq.com/n8n/640d55b3-3603-42f4-a05b-90962768fd16</t>
        </is>
      </c>
      <c r="F11" s="15" t="inlineStr">
        <is>
          <t>career-ops scan</t>
        </is>
      </c>
      <c r="G11" s="1" t="n"/>
      <c r="H11" s="15" t="inlineStr">
        <is>
          <t>REMOTE-unverified • Tier A</t>
        </is>
      </c>
      <c r="I11" s="15" t="n">
        <v>4</v>
      </c>
      <c r="J11" s="17" t="n"/>
      <c r="K11" s="15" t="inlineStr">
        <is>
          <t>4. Pending</t>
        </is>
      </c>
      <c r="L11" s="15" t="inlineStr">
        <is>
          <t>Loc: NodeJS + TS/JS | Europe remote | verify: unclear</t>
        </is>
      </c>
    </row>
    <row r="12">
      <c r="A12">
        <f>ROW()-1</f>
        <v/>
      </c>
      <c r="B12" t="inlineStr">
        <is>
          <t>2026-05-06</t>
        </is>
      </c>
      <c r="C12" t="inlineStr">
        <is>
          <t>Aleph Alpha</t>
        </is>
      </c>
      <c r="D12" t="inlineStr">
        <is>
          <t>Senior AI Software Engineer - Model Evaluation (f/m/d)</t>
        </is>
      </c>
      <c r="E12" s="13" t="inlineStr">
        <is>
          <t>https://jobs.ashbyhq.com/AlephAlpha/1963147c-dc27-416e-b432-065295733bef</t>
        </is>
      </c>
      <c r="F12" t="inlineStr">
        <is>
          <t>career-ops scan</t>
        </is>
      </c>
      <c r="G12" s="1" t="n"/>
      <c r="H12" t="inlineStr">
        <is>
          <t>Tier A</t>
        </is>
      </c>
      <c r="I12" t="n">
        <v>3</v>
      </c>
      <c r="J12" s="1" t="n"/>
      <c r="K12" t="inlineStr">
        <is>
          <t>4. Pending</t>
        </is>
      </c>
      <c r="L12" t="inlineStr">
        <is>
          <t>Loc:  | verify: unclear</t>
        </is>
      </c>
    </row>
    <row r="13">
      <c r="A13">
        <f>ROW()-1</f>
        <v/>
      </c>
      <c r="B13" t="inlineStr">
        <is>
          <t>2026-05-06</t>
        </is>
      </c>
      <c r="C13" t="inlineStr">
        <is>
          <t>Boomi</t>
        </is>
      </c>
      <c r="D13" t="inlineStr">
        <is>
          <t>Senior Software Engineer</t>
        </is>
      </c>
      <c r="E13" s="13" t="inlineStr">
        <is>
          <t>https://boomi.com/boomi-jobs/?gh_jid=5776784004</t>
        </is>
      </c>
      <c r="F13" t="inlineStr">
        <is>
          <t>career-ops scan</t>
        </is>
      </c>
      <c r="G13" s="1" t="n"/>
      <c r="H13" t="inlineStr">
        <is>
          <t>Tier A</t>
        </is>
      </c>
      <c r="I13" t="n">
        <v>3</v>
      </c>
      <c r="J13" s="1" t="n"/>
      <c r="K13" t="inlineStr">
        <is>
          <t>4. Pending</t>
        </is>
      </c>
      <c r="L13" t="inlineStr">
        <is>
          <t>Loc:  | verify: unclear</t>
        </is>
      </c>
    </row>
    <row r="14">
      <c r="A14">
        <f>ROW()-1</f>
        <v/>
      </c>
      <c r="B14" t="inlineStr">
        <is>
          <t>2026-05-06</t>
        </is>
      </c>
      <c r="C14" t="inlineStr">
        <is>
          <t>Boomi</t>
        </is>
      </c>
      <c r="D14" t="inlineStr">
        <is>
          <t>Senior Software Engineer (Vancouver Hybrid)</t>
        </is>
      </c>
      <c r="E14" s="13" t="inlineStr">
        <is>
          <t>https://boomi.com/boomi-jobs/?gh_jid=5789784004</t>
        </is>
      </c>
      <c r="F14" t="inlineStr">
        <is>
          <t>career-ops scan</t>
        </is>
      </c>
      <c r="G14" s="1" t="n"/>
      <c r="H14" t="inlineStr">
        <is>
          <t>Tier A</t>
        </is>
      </c>
      <c r="I14" t="n">
        <v>3</v>
      </c>
      <c r="J14" s="1" t="n"/>
      <c r="K14" t="inlineStr">
        <is>
          <t>4. Pending</t>
        </is>
      </c>
      <c r="L14" t="inlineStr">
        <is>
          <t>Loc:  | verify: unclear</t>
        </is>
      </c>
    </row>
    <row r="15">
      <c r="A15">
        <f>ROW()-1</f>
        <v/>
      </c>
      <c r="B15" t="inlineStr">
        <is>
          <t>2026-05-06</t>
        </is>
      </c>
      <c r="C15" t="inlineStr">
        <is>
          <t>Celonis</t>
        </is>
      </c>
      <c r="D15" t="inlineStr">
        <is>
          <t>Salesforce Software Engineer</t>
        </is>
      </c>
      <c r="E15" s="13" t="inlineStr">
        <is>
          <t>https://job-boards.greenhouse.io/celonis/jobs/7681601003?gh_jid=7681601003</t>
        </is>
      </c>
      <c r="F15" t="inlineStr">
        <is>
          <t>career-ops scan</t>
        </is>
      </c>
      <c r="G15" s="1" t="n"/>
      <c r="H15" t="inlineStr">
        <is>
          <t>Tier A</t>
        </is>
      </c>
      <c r="I15" t="n">
        <v>3</v>
      </c>
      <c r="J15" s="1" t="n"/>
      <c r="K15" t="inlineStr">
        <is>
          <t>4. Pending</t>
        </is>
      </c>
      <c r="L15" t="inlineStr">
        <is>
          <t>Loc:  | verify: unclear</t>
        </is>
      </c>
    </row>
    <row r="16">
      <c r="A16">
        <f>ROW()-1</f>
        <v/>
      </c>
      <c r="B16" t="inlineStr">
        <is>
          <t>2026-05-06</t>
        </is>
      </c>
      <c r="C16" t="inlineStr">
        <is>
          <t>Celonis</t>
        </is>
      </c>
      <c r="D16" t="inlineStr">
        <is>
          <t>Senior Software Engineer - Java</t>
        </is>
      </c>
      <c r="E16" s="13" t="inlineStr">
        <is>
          <t>https://job-boards.greenhouse.io/celonis/jobs/7559335003?gh_jid=7559335003</t>
        </is>
      </c>
      <c r="F16" t="inlineStr">
        <is>
          <t>career-ops scan</t>
        </is>
      </c>
      <c r="G16" s="1" t="n"/>
      <c r="H16" t="inlineStr">
        <is>
          <t>Tier A</t>
        </is>
      </c>
      <c r="I16" t="n">
        <v>3</v>
      </c>
      <c r="J16" s="1" t="n"/>
      <c r="K16" t="inlineStr">
        <is>
          <t>4. Pending</t>
        </is>
      </c>
      <c r="L16" t="inlineStr">
        <is>
          <t>Loc:  | verify: unclear</t>
        </is>
      </c>
    </row>
    <row r="17">
      <c r="A17">
        <f>ROW()-1</f>
        <v/>
      </c>
      <c r="B17" t="inlineStr">
        <is>
          <t>2026-05-06</t>
        </is>
      </c>
      <c r="C17" t="inlineStr">
        <is>
          <t>Celonis</t>
        </is>
      </c>
      <c r="D17" t="inlineStr">
        <is>
          <t>Senior Software Engineer - Orchestration and Automation</t>
        </is>
      </c>
      <c r="E17" s="13" t="inlineStr">
        <is>
          <t>https://job-boards.greenhouse.io/celonis/jobs/7678804003?gh_jid=7678804003</t>
        </is>
      </c>
      <c r="F17" t="inlineStr">
        <is>
          <t>career-ops scan</t>
        </is>
      </c>
      <c r="G17" s="1" t="n"/>
      <c r="H17" t="inlineStr">
        <is>
          <t>Tier A</t>
        </is>
      </c>
      <c r="I17" t="n">
        <v>3</v>
      </c>
      <c r="J17" s="1" t="n"/>
      <c r="K17" t="inlineStr">
        <is>
          <t>4. Pending</t>
        </is>
      </c>
      <c r="L17" t="inlineStr">
        <is>
          <t>Loc:  | verify: unclear</t>
        </is>
      </c>
    </row>
    <row r="18">
      <c r="A18">
        <f>ROW()-1</f>
        <v/>
      </c>
      <c r="B18" t="inlineStr">
        <is>
          <t>2026-05-06</t>
        </is>
      </c>
      <c r="C18" t="inlineStr">
        <is>
          <t>Celonis</t>
        </is>
      </c>
      <c r="D18" t="inlineStr">
        <is>
          <t>Senior Software Engineer - Provisioning and Licensing</t>
        </is>
      </c>
      <c r="E18" s="13" t="inlineStr">
        <is>
          <t>https://job-boards.greenhouse.io/celonis/jobs/7712675003?gh_jid=7712675003</t>
        </is>
      </c>
      <c r="F18" t="inlineStr">
        <is>
          <t>career-ops scan</t>
        </is>
      </c>
      <c r="G18" s="1" t="n"/>
      <c r="H18" t="inlineStr">
        <is>
          <t>Tier A</t>
        </is>
      </c>
      <c r="I18" t="n">
        <v>3</v>
      </c>
      <c r="J18" s="1" t="n"/>
      <c r="K18" t="inlineStr">
        <is>
          <t>4. Pending</t>
        </is>
      </c>
      <c r="L18" t="inlineStr">
        <is>
          <t>Loc:  | verify: unclear</t>
        </is>
      </c>
    </row>
    <row r="19">
      <c r="A19">
        <f>ROW()-1</f>
        <v/>
      </c>
      <c r="B19" t="inlineStr">
        <is>
          <t>2026-05-06</t>
        </is>
      </c>
      <c r="C19" t="inlineStr">
        <is>
          <t>Contentful</t>
        </is>
      </c>
      <c r="D19" t="inlineStr">
        <is>
          <t>Full Stack Software Engineer III</t>
        </is>
      </c>
      <c r="E19" s="13" t="inlineStr">
        <is>
          <t>https://job-boards.greenhouse.io/contentful/jobs/7875509</t>
        </is>
      </c>
      <c r="F19" t="inlineStr">
        <is>
          <t>career-ops scan</t>
        </is>
      </c>
      <c r="G19" s="1" t="n"/>
      <c r="H19" t="inlineStr">
        <is>
          <t>Tier A</t>
        </is>
      </c>
      <c r="I19" t="n">
        <v>3</v>
      </c>
      <c r="J19" s="1" t="n"/>
      <c r="K19" t="inlineStr">
        <is>
          <t>4. Pending</t>
        </is>
      </c>
      <c r="L19" t="inlineStr">
        <is>
          <t>Loc:  | verify: unclear</t>
        </is>
      </c>
    </row>
    <row r="20">
      <c r="A20">
        <f>ROW()-1</f>
        <v/>
      </c>
      <c r="B20" t="inlineStr">
        <is>
          <t>2026-05-06</t>
        </is>
      </c>
      <c r="C20" t="inlineStr">
        <is>
          <t>Contentful</t>
        </is>
      </c>
      <c r="D20" t="inlineStr">
        <is>
          <t>Fullstack Software Engineer (f/m/d)</t>
        </is>
      </c>
      <c r="E20" s="13" t="inlineStr">
        <is>
          <t>https://job-boards.greenhouse.io/contentful/jobs/7557597</t>
        </is>
      </c>
      <c r="F20" t="inlineStr">
        <is>
          <t>career-ops scan</t>
        </is>
      </c>
      <c r="G20" s="1" t="n"/>
      <c r="H20" t="inlineStr">
        <is>
          <t>Tier A</t>
        </is>
      </c>
      <c r="I20" t="n">
        <v>3</v>
      </c>
      <c r="J20" s="1" t="n"/>
      <c r="K20" t="inlineStr">
        <is>
          <t>4. Pending</t>
        </is>
      </c>
      <c r="L20" t="inlineStr">
        <is>
          <t>Loc:  | verify: unclear</t>
        </is>
      </c>
    </row>
    <row r="21">
      <c r="A21">
        <f>ROW()-1</f>
        <v/>
      </c>
      <c r="B21" t="inlineStr">
        <is>
          <t>2026-05-06</t>
        </is>
      </c>
      <c r="C21" t="inlineStr">
        <is>
          <t>Contentful</t>
        </is>
      </c>
      <c r="D21" t="inlineStr">
        <is>
          <t>Senior Backend Engineer - AI Platform (f/m/d)</t>
        </is>
      </c>
      <c r="E21" s="13" t="inlineStr">
        <is>
          <t>https://job-boards.greenhouse.io/contentful/jobs/7753183</t>
        </is>
      </c>
      <c r="F21" t="inlineStr">
        <is>
          <t>career-ops scan</t>
        </is>
      </c>
      <c r="G21" s="1" t="n"/>
      <c r="H21" t="inlineStr">
        <is>
          <t>Tier A</t>
        </is>
      </c>
      <c r="I21" t="n">
        <v>3</v>
      </c>
      <c r="J21" s="1" t="n"/>
      <c r="K21" t="inlineStr">
        <is>
          <t>4. Pending</t>
        </is>
      </c>
      <c r="L21" t="inlineStr">
        <is>
          <t>Loc:  | verify: unclear</t>
        </is>
      </c>
    </row>
    <row r="22">
      <c r="A22">
        <f>ROW()-1</f>
        <v/>
      </c>
      <c r="B22" t="inlineStr">
        <is>
          <t>2026-05-06</t>
        </is>
      </c>
      <c r="C22" t="inlineStr">
        <is>
          <t>Contentful</t>
        </is>
      </c>
      <c r="D22" t="inlineStr">
        <is>
          <t>Senior Software Engineer - Backend &amp; Infrastructure (f/m/d)</t>
        </is>
      </c>
      <c r="E22" s="13" t="inlineStr">
        <is>
          <t>https://job-boards.greenhouse.io/contentful/jobs/7760962</t>
        </is>
      </c>
      <c r="F22" t="inlineStr">
        <is>
          <t>career-ops scan</t>
        </is>
      </c>
      <c r="G22" s="1" t="n"/>
      <c r="H22" t="inlineStr">
        <is>
          <t>Tier A</t>
        </is>
      </c>
      <c r="I22" t="n">
        <v>3</v>
      </c>
      <c r="J22" s="1" t="n"/>
      <c r="K22" t="inlineStr">
        <is>
          <t>4. Pending</t>
        </is>
      </c>
      <c r="L22" t="inlineStr">
        <is>
          <t>Loc:  | verify: unclear</t>
        </is>
      </c>
    </row>
    <row r="23">
      <c r="A23">
        <f>ROW()-1</f>
        <v/>
      </c>
      <c r="B23" t="inlineStr">
        <is>
          <t>2026-05-06</t>
        </is>
      </c>
      <c r="C23" t="inlineStr">
        <is>
          <t>Cradle</t>
        </is>
      </c>
      <c r="D23" t="inlineStr">
        <is>
          <t>Backend Software Engineer, Python</t>
        </is>
      </c>
      <c r="E23" s="13" t="inlineStr">
        <is>
          <t>https://jobs.ashbyhq.com/cradlebio/ae6e6352-28e5-4b2f-b1d9-da7da078f011</t>
        </is>
      </c>
      <c r="F23" t="inlineStr">
        <is>
          <t>career-ops scan</t>
        </is>
      </c>
      <c r="G23" s="1" t="n"/>
      <c r="H23" t="inlineStr">
        <is>
          <t>Tier A</t>
        </is>
      </c>
      <c r="I23" t="n">
        <v>3</v>
      </c>
      <c r="J23" s="1" t="n"/>
      <c r="K23" t="inlineStr">
        <is>
          <t>4. Pending</t>
        </is>
      </c>
      <c r="L23" t="inlineStr">
        <is>
          <t>Loc:  | verify: unclear</t>
        </is>
      </c>
    </row>
    <row r="24">
      <c r="A24">
        <f>ROW()-1</f>
        <v/>
      </c>
      <c r="B24" t="inlineStr">
        <is>
          <t>2026-05-06</t>
        </is>
      </c>
      <c r="C24" t="inlineStr">
        <is>
          <t>Deepgram</t>
        </is>
      </c>
      <c r="D24" t="inlineStr">
        <is>
          <t>Backend Engineer- Inference Services</t>
        </is>
      </c>
      <c r="E24" s="13" t="inlineStr">
        <is>
          <t>https://jobs.ashbyhq.com/deepgram/1ab00006-f525-4e2d-a1a9-5cab4264637b</t>
        </is>
      </c>
      <c r="F24" t="inlineStr">
        <is>
          <t>career-ops scan</t>
        </is>
      </c>
      <c r="G24" s="1" t="n"/>
      <c r="H24" t="inlineStr">
        <is>
          <t>Tier A</t>
        </is>
      </c>
      <c r="I24" t="n">
        <v>3</v>
      </c>
      <c r="J24" s="1" t="n"/>
      <c r="K24" t="inlineStr">
        <is>
          <t>4. Pending</t>
        </is>
      </c>
      <c r="L24" t="inlineStr">
        <is>
          <t>Loc:  | verify: unclear</t>
        </is>
      </c>
    </row>
    <row r="25">
      <c r="A25">
        <f>ROW()-1</f>
        <v/>
      </c>
      <c r="B25" t="inlineStr">
        <is>
          <t>2026-05-06</t>
        </is>
      </c>
      <c r="C25" t="inlineStr">
        <is>
          <t>Deepgram</t>
        </is>
      </c>
      <c r="D25" t="inlineStr">
        <is>
          <t>Backend Software Engineer - Active Learning Team</t>
        </is>
      </c>
      <c r="E25" s="13" t="inlineStr">
        <is>
          <t>https://jobs.ashbyhq.com/deepgram/0796cc37-96a7-4158-8a00-155962da275a</t>
        </is>
      </c>
      <c r="F25" t="inlineStr">
        <is>
          <t>career-ops scan</t>
        </is>
      </c>
      <c r="G25" s="1" t="n"/>
      <c r="H25" t="inlineStr">
        <is>
          <t>Tier A</t>
        </is>
      </c>
      <c r="I25" t="n">
        <v>3</v>
      </c>
      <c r="J25" s="1" t="n"/>
      <c r="K25" t="inlineStr">
        <is>
          <t>4. Pending</t>
        </is>
      </c>
      <c r="L25" t="inlineStr">
        <is>
          <t>Loc:  | verify: unclear</t>
        </is>
      </c>
    </row>
    <row r="26">
      <c r="A26">
        <f>ROW()-1</f>
        <v/>
      </c>
      <c r="B26" t="inlineStr">
        <is>
          <t>2026-05-06</t>
        </is>
      </c>
      <c r="C26" t="inlineStr">
        <is>
          <t>Deepgram</t>
        </is>
      </c>
      <c r="D26" t="inlineStr">
        <is>
          <t>Backend Software Engineer - Engine Team (Voice Agent)</t>
        </is>
      </c>
      <c r="E26" s="13" t="inlineStr">
        <is>
          <t>https://jobs.ashbyhq.com/deepgram/7c7064bb-2bf0-4f64-81cc-14afe79a15c1</t>
        </is>
      </c>
      <c r="F26" t="inlineStr">
        <is>
          <t>career-ops scan</t>
        </is>
      </c>
      <c r="G26" s="1" t="n"/>
      <c r="H26" t="inlineStr">
        <is>
          <t>Tier A</t>
        </is>
      </c>
      <c r="I26" t="n">
        <v>3</v>
      </c>
      <c r="J26" s="1" t="n"/>
      <c r="K26" t="inlineStr">
        <is>
          <t>4. Pending</t>
        </is>
      </c>
      <c r="L26" t="inlineStr">
        <is>
          <t>Loc:  | verify: unclear</t>
        </is>
      </c>
    </row>
    <row r="27">
      <c r="A27">
        <f>ROW()-1</f>
        <v/>
      </c>
      <c r="B27" t="inlineStr">
        <is>
          <t>2026-05-06</t>
        </is>
      </c>
      <c r="C27" t="inlineStr">
        <is>
          <t>Deepgram</t>
        </is>
      </c>
      <c r="D27" t="inlineStr">
        <is>
          <t>Billing &amp; Analytics Software Engineer</t>
        </is>
      </c>
      <c r="E27" s="13" t="inlineStr">
        <is>
          <t>https://jobs.ashbyhq.com/deepgram/378e83b4-28c0-4b4e-8cf0-9355712bd06d</t>
        </is>
      </c>
      <c r="F27" t="inlineStr">
        <is>
          <t>career-ops scan</t>
        </is>
      </c>
      <c r="G27" s="1" t="n"/>
      <c r="H27" t="inlineStr">
        <is>
          <t>Tier A</t>
        </is>
      </c>
      <c r="I27" t="n">
        <v>3</v>
      </c>
      <c r="J27" s="1" t="n"/>
      <c r="K27" t="inlineStr">
        <is>
          <t>4. Pending</t>
        </is>
      </c>
      <c r="L27" t="inlineStr">
        <is>
          <t>Loc:  | verify: unclear</t>
        </is>
      </c>
    </row>
    <row r="28">
      <c r="A28">
        <f>ROW()-1</f>
        <v/>
      </c>
      <c r="B28" t="inlineStr">
        <is>
          <t>2026-05-06</t>
        </is>
      </c>
      <c r="C28" t="inlineStr">
        <is>
          <t>Deepgram</t>
        </is>
      </c>
      <c r="D28" t="inlineStr">
        <is>
          <t>Software Engineer - Deepgram for Restaurants</t>
        </is>
      </c>
      <c r="E28" s="13" t="inlineStr">
        <is>
          <t>https://jobs.ashbyhq.com/deepgram/68372d7d-b7a9-439e-a0a7-76690576aba4</t>
        </is>
      </c>
      <c r="F28" t="inlineStr">
        <is>
          <t>career-ops scan</t>
        </is>
      </c>
      <c r="G28" s="1" t="n"/>
      <c r="H28" t="inlineStr">
        <is>
          <t>Tier A</t>
        </is>
      </c>
      <c r="I28" t="n">
        <v>3</v>
      </c>
      <c r="J28" s="1" t="n"/>
      <c r="K28" t="inlineStr">
        <is>
          <t>4. Pending</t>
        </is>
      </c>
      <c r="L28" t="inlineStr">
        <is>
          <t>Loc:  | verify: unclear</t>
        </is>
      </c>
    </row>
    <row r="29">
      <c r="A29">
        <f>ROW()-1</f>
        <v/>
      </c>
      <c r="B29" t="inlineStr">
        <is>
          <t>2026-05-06</t>
        </is>
      </c>
      <c r="C29" t="inlineStr">
        <is>
          <t>Deepgram</t>
        </is>
      </c>
      <c r="D29" t="inlineStr">
        <is>
          <t>Software Engineer, Voice Agents / AI - Deepgram for Restaurants</t>
        </is>
      </c>
      <c r="E29" s="13" t="inlineStr">
        <is>
          <t>https://jobs.ashbyhq.com/deepgram/4a873ede-8555-42ae-9ddc-ac89afdd7278</t>
        </is>
      </c>
      <c r="F29" t="inlineStr">
        <is>
          <t>career-ops scan</t>
        </is>
      </c>
      <c r="G29" s="1" t="n"/>
      <c r="H29" t="inlineStr">
        <is>
          <t>Tier A</t>
        </is>
      </c>
      <c r="I29" t="n">
        <v>3</v>
      </c>
      <c r="J29" s="1" t="n"/>
      <c r="K29" t="inlineStr">
        <is>
          <t>4. Pending</t>
        </is>
      </c>
      <c r="L29" t="inlineStr">
        <is>
          <t>Loc:  | verify: unclear</t>
        </is>
      </c>
    </row>
    <row r="30">
      <c r="A30">
        <f>ROW()-1</f>
        <v/>
      </c>
      <c r="B30" t="inlineStr">
        <is>
          <t>2026-05-06</t>
        </is>
      </c>
      <c r="C30" t="inlineStr">
        <is>
          <t>GetYourGuide</t>
        </is>
      </c>
      <c r="D30" t="inlineStr">
        <is>
          <t>Associate Software Engineer</t>
        </is>
      </c>
      <c r="E30" s="13" t="inlineStr">
        <is>
          <t>https://getyourguide.careers/jobs/7738914?gh_jid=7738914</t>
        </is>
      </c>
      <c r="F30" t="inlineStr">
        <is>
          <t>career-ops scan</t>
        </is>
      </c>
      <c r="G30" s="1" t="n"/>
      <c r="H30" t="inlineStr">
        <is>
          <t>Tier A</t>
        </is>
      </c>
      <c r="I30" t="n">
        <v>3</v>
      </c>
      <c r="J30" s="1" t="n"/>
      <c r="K30" t="inlineStr">
        <is>
          <t>4. Pending</t>
        </is>
      </c>
      <c r="L30" t="inlineStr">
        <is>
          <t>Loc:  | verify: unclear</t>
        </is>
      </c>
    </row>
    <row r="31">
      <c r="A31" s="18">
        <f>ROW()-1</f>
        <v/>
      </c>
      <c r="B31" s="18" t="inlineStr">
        <is>
          <t>2026-05-06</t>
        </is>
      </c>
      <c r="C31" s="18" t="inlineStr">
        <is>
          <t>GetYourGuide</t>
        </is>
      </c>
      <c r="D31" s="18" t="inlineStr">
        <is>
          <t>Senior Software Engineer (Backend focused)</t>
        </is>
      </c>
      <c r="E31" s="13" t="inlineStr">
        <is>
          <t>https://getyourguide.careers/jobs/7526177?gh_jid=7526177</t>
        </is>
      </c>
      <c r="F31" s="18" t="inlineStr">
        <is>
          <t>career-ops scan</t>
        </is>
      </c>
      <c r="G31" s="1" t="n"/>
      <c r="H31" s="18" t="inlineStr">
        <is>
          <t>Tier A</t>
        </is>
      </c>
      <c r="I31" s="18" t="n">
        <v>5</v>
      </c>
      <c r="J31" s="1" t="n"/>
      <c r="K31" s="18" t="inlineStr">
        <is>
          <t>1. Apply</t>
        </is>
      </c>
      <c r="L31" s="18" t="inlineStr">
        <is>
          <t>Loc:  | verify: unclear</t>
        </is>
      </c>
    </row>
    <row r="32">
      <c r="A32" s="18">
        <f>ROW()-1</f>
        <v/>
      </c>
      <c r="B32" s="18" t="inlineStr">
        <is>
          <t>2026-05-06</t>
        </is>
      </c>
      <c r="C32" s="18" t="inlineStr">
        <is>
          <t>GetYourGuide</t>
        </is>
      </c>
      <c r="D32" s="18" t="inlineStr">
        <is>
          <t>Senior Software Engineer (Backend focused) - Supply</t>
        </is>
      </c>
      <c r="E32" s="13" t="inlineStr">
        <is>
          <t>https://getyourguide.careers/jobs/7518806?gh_jid=7518806</t>
        </is>
      </c>
      <c r="F32" s="18" t="inlineStr">
        <is>
          <t>career-ops scan</t>
        </is>
      </c>
      <c r="G32" s="1" t="n"/>
      <c r="H32" s="18" t="inlineStr">
        <is>
          <t>Tier A</t>
        </is>
      </c>
      <c r="I32" s="18" t="n">
        <v>5</v>
      </c>
      <c r="J32" s="1" t="n"/>
      <c r="K32" s="18" t="inlineStr">
        <is>
          <t>1. Apply</t>
        </is>
      </c>
      <c r="L32" s="18" t="inlineStr">
        <is>
          <t>Loc:  | verify: unclear</t>
        </is>
      </c>
    </row>
    <row r="33">
      <c r="A33">
        <f>ROW()-1</f>
        <v/>
      </c>
      <c r="B33" t="inlineStr">
        <is>
          <t>2026-05-06</t>
        </is>
      </c>
      <c r="C33" t="inlineStr">
        <is>
          <t>GetYourGuide</t>
        </is>
      </c>
      <c r="D33" t="inlineStr">
        <is>
          <t>Senior Software Engineer - (Frontend)</t>
        </is>
      </c>
      <c r="E33" s="13" t="inlineStr">
        <is>
          <t>https://getyourguide.careers/jobs/7728364?gh_jid=7728364</t>
        </is>
      </c>
      <c r="F33" t="inlineStr">
        <is>
          <t>career-ops scan</t>
        </is>
      </c>
      <c r="G33" s="1" t="n"/>
      <c r="H33" t="inlineStr">
        <is>
          <t>Tier A</t>
        </is>
      </c>
      <c r="I33" t="n">
        <v>3</v>
      </c>
      <c r="J33" s="1" t="n"/>
      <c r="K33" t="inlineStr">
        <is>
          <t>4. Pending</t>
        </is>
      </c>
      <c r="L33" t="inlineStr">
        <is>
          <t>Loc:  | verify: unclear</t>
        </is>
      </c>
    </row>
    <row r="34">
      <c r="A34">
        <f>ROW()-1</f>
        <v/>
      </c>
      <c r="B34" t="inlineStr">
        <is>
          <t>2026-05-06</t>
        </is>
      </c>
      <c r="C34" t="inlineStr">
        <is>
          <t>GetYourGuide</t>
        </is>
      </c>
      <c r="D34" t="inlineStr">
        <is>
          <t>Senior Software Engineer,  Developer Enablement</t>
        </is>
      </c>
      <c r="E34" s="13" t="inlineStr">
        <is>
          <t>https://getyourguide.careers/jobs/7234277?gh_jid=7234277</t>
        </is>
      </c>
      <c r="F34" t="inlineStr">
        <is>
          <t>career-ops scan</t>
        </is>
      </c>
      <c r="G34" s="1" t="n"/>
      <c r="H34" t="inlineStr">
        <is>
          <t>Tier A</t>
        </is>
      </c>
      <c r="I34" t="n">
        <v>3</v>
      </c>
      <c r="J34" s="1" t="n"/>
      <c r="K34" t="inlineStr">
        <is>
          <t>4. Pending</t>
        </is>
      </c>
      <c r="L34" t="inlineStr">
        <is>
          <t>Loc:  | verify: unclear</t>
        </is>
      </c>
    </row>
    <row r="35">
      <c r="A35">
        <f>ROW()-1</f>
        <v/>
      </c>
      <c r="B35" t="inlineStr">
        <is>
          <t>2026-05-06</t>
        </is>
      </c>
      <c r="C35" t="inlineStr">
        <is>
          <t>GetYourGuide</t>
        </is>
      </c>
      <c r="D35" t="inlineStr">
        <is>
          <t>Senior Software Engineer, Revenue Platform (Backend Focused)</t>
        </is>
      </c>
      <c r="E35" s="13" t="inlineStr">
        <is>
          <t>https://getyourguide.careers/jobs/7641281?gh_jid=7641281</t>
        </is>
      </c>
      <c r="F35" t="inlineStr">
        <is>
          <t>career-ops scan</t>
        </is>
      </c>
      <c r="G35" s="1" t="n"/>
      <c r="H35" t="inlineStr">
        <is>
          <t>Tier A</t>
        </is>
      </c>
      <c r="I35" t="n">
        <v>3</v>
      </c>
      <c r="J35" s="1" t="n"/>
      <c r="K35" t="inlineStr">
        <is>
          <t>4. Pending</t>
        </is>
      </c>
      <c r="L35" t="inlineStr">
        <is>
          <t>Loc:  | verify: unclear</t>
        </is>
      </c>
    </row>
    <row r="36">
      <c r="A36">
        <f>ROW()-1</f>
        <v/>
      </c>
      <c r="B36" t="inlineStr">
        <is>
          <t>2026-05-06</t>
        </is>
      </c>
      <c r="C36" t="inlineStr">
        <is>
          <t>GetYourGuide</t>
        </is>
      </c>
      <c r="D36" t="inlineStr">
        <is>
          <t>Senior Software Engineer, Search Platform</t>
        </is>
      </c>
      <c r="E36" s="13" t="inlineStr">
        <is>
          <t>https://getyourguide.careers/jobs/7581804?gh_jid=7581804</t>
        </is>
      </c>
      <c r="F36" t="inlineStr">
        <is>
          <t>career-ops scan</t>
        </is>
      </c>
      <c r="G36" s="1" t="n"/>
      <c r="H36" t="inlineStr">
        <is>
          <t>Tier A</t>
        </is>
      </c>
      <c r="I36" t="n">
        <v>3</v>
      </c>
      <c r="J36" s="1" t="n"/>
      <c r="K36" t="inlineStr">
        <is>
          <t>4. Pending</t>
        </is>
      </c>
      <c r="L36" t="inlineStr">
        <is>
          <t>Loc:  | verify: unclear</t>
        </is>
      </c>
    </row>
    <row r="37">
      <c r="A37">
        <f>ROW()-1</f>
        <v/>
      </c>
      <c r="B37" t="inlineStr">
        <is>
          <t>2026-05-06</t>
        </is>
      </c>
      <c r="C37" t="inlineStr">
        <is>
          <t>GetYourGuide</t>
        </is>
      </c>
      <c r="D37" t="inlineStr">
        <is>
          <t>Senior Software Engineer, User Profiles (Backend Focused)</t>
        </is>
      </c>
      <c r="E37" s="13" t="inlineStr">
        <is>
          <t>https://getyourguide.careers/jobs/7607497?gh_jid=7607497</t>
        </is>
      </c>
      <c r="F37" t="inlineStr">
        <is>
          <t>career-ops scan</t>
        </is>
      </c>
      <c r="G37" s="1" t="n"/>
      <c r="H37" t="inlineStr">
        <is>
          <t>Tier A</t>
        </is>
      </c>
      <c r="I37" t="n">
        <v>3</v>
      </c>
      <c r="J37" s="1" t="n"/>
      <c r="K37" t="inlineStr">
        <is>
          <t>4. Pending</t>
        </is>
      </c>
      <c r="L37" t="inlineStr">
        <is>
          <t>Loc:  | verify: unclear</t>
        </is>
      </c>
    </row>
    <row r="38">
      <c r="A38">
        <f>ROW()-1</f>
        <v/>
      </c>
      <c r="B38" t="inlineStr">
        <is>
          <t>2026-05-06</t>
        </is>
      </c>
      <c r="C38" t="inlineStr">
        <is>
          <t>GetYourGuide</t>
        </is>
      </c>
      <c r="D38" t="inlineStr">
        <is>
          <t>Software Engineer,  Developer Enablement</t>
        </is>
      </c>
      <c r="E38" s="13" t="inlineStr">
        <is>
          <t>https://getyourguide.careers/jobs/7768438?gh_jid=7768438</t>
        </is>
      </c>
      <c r="F38" t="inlineStr">
        <is>
          <t>career-ops scan</t>
        </is>
      </c>
      <c r="G38" s="1" t="n"/>
      <c r="H38" t="inlineStr">
        <is>
          <t>Tier A</t>
        </is>
      </c>
      <c r="I38" t="n">
        <v>3</v>
      </c>
      <c r="J38" s="1" t="n"/>
      <c r="K38" t="inlineStr">
        <is>
          <t>4. Pending</t>
        </is>
      </c>
      <c r="L38" t="inlineStr">
        <is>
          <t>Loc:  | verify: unclear</t>
        </is>
      </c>
    </row>
    <row r="39">
      <c r="A39">
        <f>ROW()-1</f>
        <v/>
      </c>
      <c r="B39" t="inlineStr">
        <is>
          <t>2026-05-06</t>
        </is>
      </c>
      <c r="C39" t="inlineStr">
        <is>
          <t>Glacis AI</t>
        </is>
      </c>
      <c r="D39" t="inlineStr">
        <is>
          <t>Founding Software Engineer - Agentic AI (On-site)</t>
        </is>
      </c>
      <c r="E39" s="13" t="inlineStr">
        <is>
          <t>https://jobs.ashbyhq.com/glacis-ai/796efc69-0c03-45d9-9f54-f3de7bbccde9</t>
        </is>
      </c>
      <c r="F39" t="inlineStr">
        <is>
          <t>career-ops scan</t>
        </is>
      </c>
      <c r="G39" s="1" t="n"/>
      <c r="H39" t="inlineStr">
        <is>
          <t>Tier A</t>
        </is>
      </c>
      <c r="I39" t="n">
        <v>3</v>
      </c>
      <c r="J39" s="1" t="n"/>
      <c r="K39" t="inlineStr">
        <is>
          <t>4. Pending</t>
        </is>
      </c>
      <c r="L39" t="inlineStr">
        <is>
          <t>Loc:  | verify: unclear</t>
        </is>
      </c>
    </row>
    <row r="40">
      <c r="A40">
        <f>ROW()-1</f>
        <v/>
      </c>
      <c r="B40" t="inlineStr">
        <is>
          <t>2026-05-06</t>
        </is>
      </c>
      <c r="C40" t="inlineStr">
        <is>
          <t>Glacis AI</t>
        </is>
      </c>
      <c r="D40" t="inlineStr">
        <is>
          <t>Founding Software Engineer - Agentic AI (Remote)</t>
        </is>
      </c>
      <c r="E40" s="13" t="inlineStr">
        <is>
          <t>https://jobs.ashbyhq.com/glacis-ai/feea2cb6-60db-4afa-8358-ba17d05d1cd5</t>
        </is>
      </c>
      <c r="F40" t="inlineStr">
        <is>
          <t>career-ops scan</t>
        </is>
      </c>
      <c r="G40" s="1" t="n"/>
      <c r="H40" t="inlineStr">
        <is>
          <t>Tier A</t>
        </is>
      </c>
      <c r="I40" t="n">
        <v>3</v>
      </c>
      <c r="J40" s="1" t="n"/>
      <c r="K40" t="inlineStr">
        <is>
          <t>4. Pending</t>
        </is>
      </c>
      <c r="L40" t="inlineStr">
        <is>
          <t>Loc:  | verify: unclear</t>
        </is>
      </c>
    </row>
    <row r="41">
      <c r="A41">
        <f>ROW()-1</f>
        <v/>
      </c>
      <c r="B41" t="inlineStr">
        <is>
          <t>2026-05-06</t>
        </is>
      </c>
      <c r="C41" t="inlineStr">
        <is>
          <t>Glean</t>
        </is>
      </c>
      <c r="D41" t="inlineStr">
        <is>
          <t>Lead Software Engineer, Product Backend</t>
        </is>
      </c>
      <c r="E41" s="13" t="inlineStr">
        <is>
          <t>https://job-boards.greenhouse.io/gleanwork/jobs/4598386005</t>
        </is>
      </c>
      <c r="F41" t="inlineStr">
        <is>
          <t>career-ops scan</t>
        </is>
      </c>
      <c r="G41" s="1" t="n"/>
      <c r="H41" t="inlineStr">
        <is>
          <t>Tier A</t>
        </is>
      </c>
      <c r="I41" t="n">
        <v>3</v>
      </c>
      <c r="J41" s="1" t="n"/>
      <c r="K41" t="inlineStr">
        <is>
          <t>4. Pending</t>
        </is>
      </c>
      <c r="L41" t="inlineStr">
        <is>
          <t>Loc:  | verify: unclear</t>
        </is>
      </c>
    </row>
    <row r="42">
      <c r="A42">
        <f>ROW()-1</f>
        <v/>
      </c>
      <c r="B42" t="inlineStr">
        <is>
          <t>2026-05-06</t>
        </is>
      </c>
      <c r="C42" t="inlineStr">
        <is>
          <t>Glean</t>
        </is>
      </c>
      <c r="D42" t="inlineStr">
        <is>
          <t>Software Engineer, AI &amp; Security</t>
        </is>
      </c>
      <c r="E42" s="13" t="inlineStr">
        <is>
          <t>https://job-boards.greenhouse.io/gleanwork/jobs/4605446005</t>
        </is>
      </c>
      <c r="F42" t="inlineStr">
        <is>
          <t>career-ops scan</t>
        </is>
      </c>
      <c r="G42" s="1" t="n"/>
      <c r="H42" t="inlineStr">
        <is>
          <t>Tier A</t>
        </is>
      </c>
      <c r="I42" t="n">
        <v>3</v>
      </c>
      <c r="J42" s="1" t="n"/>
      <c r="K42" t="inlineStr">
        <is>
          <t>4. Pending</t>
        </is>
      </c>
      <c r="L42" t="inlineStr">
        <is>
          <t>Loc:  | verify: unclear</t>
        </is>
      </c>
    </row>
    <row r="43">
      <c r="A43">
        <f>ROW()-1</f>
        <v/>
      </c>
      <c r="B43" t="inlineStr">
        <is>
          <t>2026-05-06</t>
        </is>
      </c>
      <c r="C43" t="inlineStr">
        <is>
          <t>Glean</t>
        </is>
      </c>
      <c r="D43" t="inlineStr">
        <is>
          <t>Software Engineer, AI Infrastructure</t>
        </is>
      </c>
      <c r="E43" s="13" t="inlineStr">
        <is>
          <t>https://job-boards.greenhouse.io/gleanwork/jobs/4501783005</t>
        </is>
      </c>
      <c r="F43" t="inlineStr">
        <is>
          <t>career-ops scan</t>
        </is>
      </c>
      <c r="G43" s="1" t="n"/>
      <c r="H43" t="inlineStr">
        <is>
          <t>Tier A</t>
        </is>
      </c>
      <c r="I43" t="n">
        <v>3</v>
      </c>
      <c r="J43" s="1" t="n"/>
      <c r="K43" t="inlineStr">
        <is>
          <t>4. Pending</t>
        </is>
      </c>
      <c r="L43" t="inlineStr">
        <is>
          <t>Loc:  | verify: unclear</t>
        </is>
      </c>
    </row>
    <row r="44">
      <c r="A44">
        <f>ROW()-1</f>
        <v/>
      </c>
      <c r="B44" t="inlineStr">
        <is>
          <t>2026-05-06</t>
        </is>
      </c>
      <c r="C44" t="inlineStr">
        <is>
          <t>Glean</t>
        </is>
      </c>
      <c r="D44" t="inlineStr">
        <is>
          <t>Software Engineer, Agentic Runtime</t>
        </is>
      </c>
      <c r="E44" s="13" t="inlineStr">
        <is>
          <t>https://job-boards.greenhouse.io/gleanwork/jobs/4616929005</t>
        </is>
      </c>
      <c r="F44" t="inlineStr">
        <is>
          <t>career-ops scan</t>
        </is>
      </c>
      <c r="G44" s="1" t="n"/>
      <c r="H44" t="inlineStr">
        <is>
          <t>Tier A</t>
        </is>
      </c>
      <c r="I44" t="n">
        <v>3</v>
      </c>
      <c r="J44" s="1" t="n"/>
      <c r="K44" t="inlineStr">
        <is>
          <t>4. Pending</t>
        </is>
      </c>
      <c r="L44" t="inlineStr">
        <is>
          <t>Loc:  | verify: unclear</t>
        </is>
      </c>
    </row>
    <row r="45">
      <c r="A45">
        <f>ROW()-1</f>
        <v/>
      </c>
      <c r="B45" t="inlineStr">
        <is>
          <t>2026-05-06</t>
        </is>
      </c>
      <c r="C45" t="inlineStr">
        <is>
          <t>Glean</t>
        </is>
      </c>
      <c r="D45" t="inlineStr">
        <is>
          <t>Software Engineer, Backend</t>
        </is>
      </c>
      <c r="E45" s="13" t="inlineStr">
        <is>
          <t>https://job-boards.greenhouse.io/gleanwork/jobs/4006731005</t>
        </is>
      </c>
      <c r="F45" t="inlineStr">
        <is>
          <t>career-ops scan</t>
        </is>
      </c>
      <c r="G45" s="1" t="n"/>
      <c r="H45" t="inlineStr">
        <is>
          <t>Tier A</t>
        </is>
      </c>
      <c r="I45" t="n">
        <v>3</v>
      </c>
      <c r="J45" s="1" t="n"/>
      <c r="K45" t="inlineStr">
        <is>
          <t>4. Pending</t>
        </is>
      </c>
      <c r="L45" t="inlineStr">
        <is>
          <t>Loc:  | verify: unclear</t>
        </is>
      </c>
    </row>
    <row r="46">
      <c r="A46">
        <f>ROW()-1</f>
        <v/>
      </c>
      <c r="B46" t="inlineStr">
        <is>
          <t>2026-05-06</t>
        </is>
      </c>
      <c r="C46" t="inlineStr">
        <is>
          <t>Glean</t>
        </is>
      </c>
      <c r="D46" t="inlineStr">
        <is>
          <t>Software Engineer, Billing &amp; Revenue Platform</t>
        </is>
      </c>
      <c r="E46" s="13" t="inlineStr">
        <is>
          <t>https://job-boards.greenhouse.io/gleanwork/jobs/4675862005</t>
        </is>
      </c>
      <c r="F46" t="inlineStr">
        <is>
          <t>career-ops scan</t>
        </is>
      </c>
      <c r="G46" s="1" t="n"/>
      <c r="H46" t="inlineStr">
        <is>
          <t>Tier A</t>
        </is>
      </c>
      <c r="I46" t="n">
        <v>3</v>
      </c>
      <c r="J46" s="1" t="n"/>
      <c r="K46" t="inlineStr">
        <is>
          <t>4. Pending</t>
        </is>
      </c>
      <c r="L46" t="inlineStr">
        <is>
          <t>Loc:  | verify: unclear</t>
        </is>
      </c>
    </row>
    <row r="47">
      <c r="A47">
        <f>ROW()-1</f>
        <v/>
      </c>
      <c r="B47" t="inlineStr">
        <is>
          <t>2026-05-06</t>
        </is>
      </c>
      <c r="C47" t="inlineStr">
        <is>
          <t>Glean</t>
        </is>
      </c>
      <c r="D47" t="inlineStr">
        <is>
          <t>Software Engineer, Context Platform</t>
        </is>
      </c>
      <c r="E47" s="13" t="inlineStr">
        <is>
          <t>https://job-boards.greenhouse.io/gleanwork/jobs/4638008005</t>
        </is>
      </c>
      <c r="F47" t="inlineStr">
        <is>
          <t>career-ops scan</t>
        </is>
      </c>
      <c r="G47" s="1" t="n"/>
      <c r="H47" t="inlineStr">
        <is>
          <t>Tier A</t>
        </is>
      </c>
      <c r="I47" t="n">
        <v>3</v>
      </c>
      <c r="J47" s="1" t="n"/>
      <c r="K47" t="inlineStr">
        <is>
          <t>4. Pending</t>
        </is>
      </c>
      <c r="L47" t="inlineStr">
        <is>
          <t>Loc:  | verify: unclear</t>
        </is>
      </c>
    </row>
    <row r="48">
      <c r="A48">
        <f>ROW()-1</f>
        <v/>
      </c>
      <c r="B48" t="inlineStr">
        <is>
          <t>2026-05-06</t>
        </is>
      </c>
      <c r="C48" t="inlineStr">
        <is>
          <t>Glean</t>
        </is>
      </c>
      <c r="D48" t="inlineStr">
        <is>
          <t>Software Engineer, Data Foundations</t>
        </is>
      </c>
      <c r="E48" s="13" t="inlineStr">
        <is>
          <t>https://job-boards.greenhouse.io/gleanwork/jobs/4637208005</t>
        </is>
      </c>
      <c r="F48" t="inlineStr">
        <is>
          <t>career-ops scan</t>
        </is>
      </c>
      <c r="G48" s="1" t="n"/>
      <c r="H48" t="inlineStr">
        <is>
          <t>Tier A</t>
        </is>
      </c>
      <c r="I48" t="n">
        <v>3</v>
      </c>
      <c r="J48" s="1" t="n"/>
      <c r="K48" t="inlineStr">
        <is>
          <t>4. Pending</t>
        </is>
      </c>
      <c r="L48" t="inlineStr">
        <is>
          <t>Loc:  | verify: unclear</t>
        </is>
      </c>
    </row>
    <row r="49">
      <c r="A49">
        <f>ROW()-1</f>
        <v/>
      </c>
      <c r="B49" t="inlineStr">
        <is>
          <t>2026-05-06</t>
        </is>
      </c>
      <c r="C49" t="inlineStr">
        <is>
          <t>Glean</t>
        </is>
      </c>
      <c r="D49" t="inlineStr">
        <is>
          <t>Software Engineer, Developer Productivity</t>
        </is>
      </c>
      <c r="E49" s="13" t="inlineStr">
        <is>
          <t>https://job-boards.greenhouse.io/gleanwork/jobs/4614706005</t>
        </is>
      </c>
      <c r="F49" t="inlineStr">
        <is>
          <t>career-ops scan</t>
        </is>
      </c>
      <c r="G49" s="1" t="n"/>
      <c r="H49" t="inlineStr">
        <is>
          <t>Tier A</t>
        </is>
      </c>
      <c r="I49" t="n">
        <v>3</v>
      </c>
      <c r="J49" s="1" t="n"/>
      <c r="K49" t="inlineStr">
        <is>
          <t>4. Pending</t>
        </is>
      </c>
      <c r="L49" t="inlineStr">
        <is>
          <t>Loc:  | verify: unclear</t>
        </is>
      </c>
    </row>
    <row r="50">
      <c r="A50">
        <f>ROW()-1</f>
        <v/>
      </c>
      <c r="B50" t="inlineStr">
        <is>
          <t>2026-05-06</t>
        </is>
      </c>
      <c r="C50" t="inlineStr">
        <is>
          <t>Glean</t>
        </is>
      </c>
      <c r="D50" t="inlineStr">
        <is>
          <t>Software Engineer, Frontend</t>
        </is>
      </c>
      <c r="E50" s="13" t="inlineStr">
        <is>
          <t>https://job-boards.greenhouse.io/gleanwork/jobs/4006733005</t>
        </is>
      </c>
      <c r="F50" t="inlineStr">
        <is>
          <t>career-ops scan</t>
        </is>
      </c>
      <c r="G50" s="1" t="n"/>
      <c r="H50" t="inlineStr">
        <is>
          <t>Tier A</t>
        </is>
      </c>
      <c r="I50" t="n">
        <v>3</v>
      </c>
      <c r="J50" s="1" t="n"/>
      <c r="K50" t="inlineStr">
        <is>
          <t>4. Pending</t>
        </is>
      </c>
      <c r="L50" t="inlineStr">
        <is>
          <t>Loc:  | verify: unclear</t>
        </is>
      </c>
    </row>
    <row r="51">
      <c r="A51">
        <f>ROW()-1</f>
        <v/>
      </c>
      <c r="B51" t="inlineStr">
        <is>
          <t>2026-05-06</t>
        </is>
      </c>
      <c r="C51" t="inlineStr">
        <is>
          <t>Glean</t>
        </is>
      </c>
      <c r="D51" t="inlineStr">
        <is>
          <t>Software Engineer, Fullstack</t>
        </is>
      </c>
      <c r="E51" s="13" t="inlineStr">
        <is>
          <t>https://job-boards.greenhouse.io/gleanwork/jobs/4006734005</t>
        </is>
      </c>
      <c r="F51" t="inlineStr">
        <is>
          <t>career-ops scan</t>
        </is>
      </c>
      <c r="G51" s="1" t="n"/>
      <c r="H51" t="inlineStr">
        <is>
          <t>Tier A</t>
        </is>
      </c>
      <c r="I51" t="n">
        <v>3</v>
      </c>
      <c r="J51" s="1" t="n"/>
      <c r="K51" t="inlineStr">
        <is>
          <t>4. Pending</t>
        </is>
      </c>
      <c r="L51" t="inlineStr">
        <is>
          <t>Loc:  | verify: unclear</t>
        </is>
      </c>
    </row>
    <row r="52">
      <c r="A52">
        <f>ROW()-1</f>
        <v/>
      </c>
      <c r="B52" t="inlineStr">
        <is>
          <t>2026-05-06</t>
        </is>
      </c>
      <c r="C52" t="inlineStr">
        <is>
          <t>Glean</t>
        </is>
      </c>
      <c r="D52" t="inlineStr">
        <is>
          <t>Software Engineer, Insights</t>
        </is>
      </c>
      <c r="E52" s="13" t="inlineStr">
        <is>
          <t>https://job-boards.greenhouse.io/gleanwork/jobs/4659229005</t>
        </is>
      </c>
      <c r="F52" t="inlineStr">
        <is>
          <t>career-ops scan</t>
        </is>
      </c>
      <c r="G52" s="1" t="n"/>
      <c r="H52" t="inlineStr">
        <is>
          <t>Tier A</t>
        </is>
      </c>
      <c r="I52" t="n">
        <v>3</v>
      </c>
      <c r="J52" s="1" t="n"/>
      <c r="K52" t="inlineStr">
        <is>
          <t>4. Pending</t>
        </is>
      </c>
      <c r="L52" t="inlineStr">
        <is>
          <t>Loc:  | verify: unclear</t>
        </is>
      </c>
    </row>
    <row r="53">
      <c r="A53">
        <f>ROW()-1</f>
        <v/>
      </c>
      <c r="B53" t="inlineStr">
        <is>
          <t>2026-05-06</t>
        </is>
      </c>
      <c r="C53" t="inlineStr">
        <is>
          <t>Glean</t>
        </is>
      </c>
      <c r="D53" t="inlineStr">
        <is>
          <t>Software Engineer, Machine Learning</t>
        </is>
      </c>
      <c r="E53" s="13" t="inlineStr">
        <is>
          <t>https://job-boards.greenhouse.io/gleanwork/jobs/4012745005</t>
        </is>
      </c>
      <c r="F53" t="inlineStr">
        <is>
          <t>career-ops scan</t>
        </is>
      </c>
      <c r="G53" s="1" t="n"/>
      <c r="H53" t="inlineStr">
        <is>
          <t>Tier A</t>
        </is>
      </c>
      <c r="I53" t="n">
        <v>3</v>
      </c>
      <c r="J53" s="1" t="n"/>
      <c r="K53" t="inlineStr">
        <is>
          <t>4. Pending</t>
        </is>
      </c>
      <c r="L53" t="inlineStr">
        <is>
          <t>Loc:  | verify: unclear</t>
        </is>
      </c>
    </row>
    <row r="54">
      <c r="A54">
        <f>ROW()-1</f>
        <v/>
      </c>
      <c r="B54" t="inlineStr">
        <is>
          <t>2026-05-06</t>
        </is>
      </c>
      <c r="C54" t="inlineStr">
        <is>
          <t>Glean</t>
        </is>
      </c>
      <c r="D54" t="inlineStr">
        <is>
          <t>Software Engineer, Platform</t>
        </is>
      </c>
      <c r="E54" s="13" t="inlineStr">
        <is>
          <t>https://job-boards.greenhouse.io/gleanwork/jobs/4636739005</t>
        </is>
      </c>
      <c r="F54" t="inlineStr">
        <is>
          <t>career-ops scan</t>
        </is>
      </c>
      <c r="G54" s="1" t="n"/>
      <c r="H54" t="inlineStr">
        <is>
          <t>Tier A</t>
        </is>
      </c>
      <c r="I54" t="n">
        <v>3</v>
      </c>
      <c r="J54" s="1" t="n"/>
      <c r="K54" t="inlineStr">
        <is>
          <t>4. Pending</t>
        </is>
      </c>
      <c r="L54" t="inlineStr">
        <is>
          <t>Loc:  | verify: unclear</t>
        </is>
      </c>
    </row>
    <row r="55">
      <c r="A55">
        <f>ROW()-1</f>
        <v/>
      </c>
      <c r="B55" t="inlineStr">
        <is>
          <t>2026-05-06</t>
        </is>
      </c>
      <c r="C55" t="inlineStr">
        <is>
          <t>Glean</t>
        </is>
      </c>
      <c r="D55" t="inlineStr">
        <is>
          <t>Software Engineer, Platform Security</t>
        </is>
      </c>
      <c r="E55" s="13" t="inlineStr">
        <is>
          <t>https://job-boards.greenhouse.io/gleanwork/jobs/4436194005</t>
        </is>
      </c>
      <c r="F55" t="inlineStr">
        <is>
          <t>career-ops scan</t>
        </is>
      </c>
      <c r="G55" s="1" t="n"/>
      <c r="H55" t="inlineStr">
        <is>
          <t>Tier A</t>
        </is>
      </c>
      <c r="I55" t="n">
        <v>3</v>
      </c>
      <c r="J55" s="1" t="n"/>
      <c r="K55" t="inlineStr">
        <is>
          <t>4. Pending</t>
        </is>
      </c>
      <c r="L55" t="inlineStr">
        <is>
          <t>Loc:  | verify: unclear</t>
        </is>
      </c>
    </row>
    <row r="56">
      <c r="A56">
        <f>ROW()-1</f>
        <v/>
      </c>
      <c r="B56" t="inlineStr">
        <is>
          <t>2026-05-06</t>
        </is>
      </c>
      <c r="C56" t="inlineStr">
        <is>
          <t>Glean</t>
        </is>
      </c>
      <c r="D56" t="inlineStr">
        <is>
          <t>Software Engineer, Product Backend</t>
        </is>
      </c>
      <c r="E56" s="13" t="inlineStr">
        <is>
          <t>https://job-boards.greenhouse.io/gleanwork/jobs/4428090005</t>
        </is>
      </c>
      <c r="F56" t="inlineStr">
        <is>
          <t>career-ops scan</t>
        </is>
      </c>
      <c r="G56" s="1" t="n"/>
      <c r="H56" t="inlineStr">
        <is>
          <t>Tier A</t>
        </is>
      </c>
      <c r="I56" t="n">
        <v>3</v>
      </c>
      <c r="J56" s="1" t="n"/>
      <c r="K56" t="inlineStr">
        <is>
          <t>4. Pending</t>
        </is>
      </c>
      <c r="L56" t="inlineStr">
        <is>
          <t>Loc:  | verify: unclear</t>
        </is>
      </c>
    </row>
    <row r="57">
      <c r="A57">
        <f>ROW()-1</f>
        <v/>
      </c>
      <c r="B57" t="inlineStr">
        <is>
          <t>2026-05-06</t>
        </is>
      </c>
      <c r="C57" t="inlineStr">
        <is>
          <t>Helsing</t>
        </is>
      </c>
      <c r="D57" t="inlineStr">
        <is>
          <t>Software Engineer</t>
        </is>
      </c>
      <c r="E57" s="13" t="inlineStr">
        <is>
          <t>https://helsing.ai/jobs/4737931101?gh_jid=4737931101</t>
        </is>
      </c>
      <c r="F57" t="inlineStr">
        <is>
          <t>career-ops scan</t>
        </is>
      </c>
      <c r="G57" s="1" t="n"/>
      <c r="H57" t="inlineStr">
        <is>
          <t>Tier A</t>
        </is>
      </c>
      <c r="I57" t="n">
        <v>3</v>
      </c>
      <c r="J57" s="1" t="n"/>
      <c r="K57" t="inlineStr">
        <is>
          <t>4. Pending</t>
        </is>
      </c>
      <c r="L57" t="inlineStr">
        <is>
          <t>Loc:  | verify: unclear</t>
        </is>
      </c>
    </row>
    <row r="58">
      <c r="A58">
        <f>ROW()-1</f>
        <v/>
      </c>
      <c r="B58" t="inlineStr">
        <is>
          <t>2026-05-06</t>
        </is>
      </c>
      <c r="C58" t="inlineStr">
        <is>
          <t>Helsing</t>
        </is>
      </c>
      <c r="D58" t="inlineStr">
        <is>
          <t>Software Engineer - Airborne Mission Systems</t>
        </is>
      </c>
      <c r="E58" s="13" t="inlineStr">
        <is>
          <t>https://helsing.ai/jobs/4741565101?gh_jid=4741565101</t>
        </is>
      </c>
      <c r="F58" t="inlineStr">
        <is>
          <t>career-ops scan</t>
        </is>
      </c>
      <c r="G58" s="1" t="n"/>
      <c r="H58" t="inlineStr">
        <is>
          <t>Tier A</t>
        </is>
      </c>
      <c r="I58" t="n">
        <v>3</v>
      </c>
      <c r="J58" s="1" t="n"/>
      <c r="K58" t="inlineStr">
        <is>
          <t>4. Pending</t>
        </is>
      </c>
      <c r="L58" t="inlineStr">
        <is>
          <t>Loc:  | verify: unclear</t>
        </is>
      </c>
    </row>
    <row r="59">
      <c r="A59">
        <f>ROW()-1</f>
        <v/>
      </c>
      <c r="B59" t="inlineStr">
        <is>
          <t>2026-05-06</t>
        </is>
      </c>
      <c r="C59" t="inlineStr">
        <is>
          <t>Helsing</t>
        </is>
      </c>
      <c r="D59" t="inlineStr">
        <is>
          <t>Software Engineer - Autonomous Air System V&amp;V</t>
        </is>
      </c>
      <c r="E59" s="13" t="inlineStr">
        <is>
          <t>https://helsing.ai/jobs/4741219101?gh_jid=4741219101</t>
        </is>
      </c>
      <c r="F59" t="inlineStr">
        <is>
          <t>career-ops scan</t>
        </is>
      </c>
      <c r="G59" s="1" t="n"/>
      <c r="H59" t="inlineStr">
        <is>
          <t>Tier A</t>
        </is>
      </c>
      <c r="I59" t="n">
        <v>3</v>
      </c>
      <c r="J59" s="1" t="n"/>
      <c r="K59" t="inlineStr">
        <is>
          <t>4. Pending</t>
        </is>
      </c>
      <c r="L59" t="inlineStr">
        <is>
          <t>Loc:  | verify: unclear</t>
        </is>
      </c>
    </row>
    <row r="60">
      <c r="A60">
        <f>ROW()-1</f>
        <v/>
      </c>
      <c r="B60" t="inlineStr">
        <is>
          <t>2026-05-06</t>
        </is>
      </c>
      <c r="C60" t="inlineStr">
        <is>
          <t>Helsing</t>
        </is>
      </c>
      <c r="D60" t="inlineStr">
        <is>
          <t>Software Engineer - Autonomous Air Systems</t>
        </is>
      </c>
      <c r="E60" s="13" t="inlineStr">
        <is>
          <t>https://helsing.ai/jobs/4741571101?gh_jid=4741571101</t>
        </is>
      </c>
      <c r="F60" t="inlineStr">
        <is>
          <t>career-ops scan</t>
        </is>
      </c>
      <c r="G60" s="1" t="n"/>
      <c r="H60" t="inlineStr">
        <is>
          <t>Tier A</t>
        </is>
      </c>
      <c r="I60" t="n">
        <v>3</v>
      </c>
      <c r="J60" s="1" t="n"/>
      <c r="K60" t="inlineStr">
        <is>
          <t>4. Pending</t>
        </is>
      </c>
      <c r="L60" t="inlineStr">
        <is>
          <t>Loc:  | verify: unclear</t>
        </is>
      </c>
    </row>
    <row r="61">
      <c r="A61">
        <f>ROW()-1</f>
        <v/>
      </c>
      <c r="B61" t="inlineStr">
        <is>
          <t>2026-05-06</t>
        </is>
      </c>
      <c r="C61" t="inlineStr">
        <is>
          <t>Helsing</t>
        </is>
      </c>
      <c r="D61" t="inlineStr">
        <is>
          <t>Software Engineer - Backend</t>
        </is>
      </c>
      <c r="E61" s="13" t="inlineStr">
        <is>
          <t>https://helsing.ai/jobs/4125061101?gh_jid=4125061101</t>
        </is>
      </c>
      <c r="F61" t="inlineStr">
        <is>
          <t>career-ops scan</t>
        </is>
      </c>
      <c r="G61" s="1" t="n"/>
      <c r="H61" t="inlineStr">
        <is>
          <t>Tier A</t>
        </is>
      </c>
      <c r="I61" t="n">
        <v>3</v>
      </c>
      <c r="J61" s="1" t="n"/>
      <c r="K61" t="inlineStr">
        <is>
          <t>4. Pending</t>
        </is>
      </c>
      <c r="L61" t="inlineStr">
        <is>
          <t>Loc:  | verify: unclear</t>
        </is>
      </c>
    </row>
    <row r="62">
      <c r="A62">
        <f>ROW()-1</f>
        <v/>
      </c>
      <c r="B62" t="inlineStr">
        <is>
          <t>2026-05-06</t>
        </is>
      </c>
      <c r="C62" t="inlineStr">
        <is>
          <t>Helsing</t>
        </is>
      </c>
      <c r="D62" t="inlineStr">
        <is>
          <t>Software Engineer - Frontend</t>
        </is>
      </c>
      <c r="E62" s="13" t="inlineStr">
        <is>
          <t>https://helsing.ai/jobs/4126378101?gh_jid=4126378101</t>
        </is>
      </c>
      <c r="F62" t="inlineStr">
        <is>
          <t>career-ops scan</t>
        </is>
      </c>
      <c r="G62" s="1" t="n"/>
      <c r="H62" t="inlineStr">
        <is>
          <t>Tier A</t>
        </is>
      </c>
      <c r="I62" t="n">
        <v>3</v>
      </c>
      <c r="J62" s="1" t="n"/>
      <c r="K62" t="inlineStr">
        <is>
          <t>4. Pending</t>
        </is>
      </c>
      <c r="L62" t="inlineStr">
        <is>
          <t>Loc:  | verify: unclear</t>
        </is>
      </c>
    </row>
    <row r="63">
      <c r="A63">
        <f>ROW()-1</f>
        <v/>
      </c>
      <c r="B63" t="inlineStr">
        <is>
          <t>2026-05-06</t>
        </is>
      </c>
      <c r="C63" t="inlineStr">
        <is>
          <t>Helsing</t>
        </is>
      </c>
      <c r="D63" t="inlineStr">
        <is>
          <t>Software Engineer - Frontend Autonomous Air System V&amp;V</t>
        </is>
      </c>
      <c r="E63" s="13" t="inlineStr">
        <is>
          <t>https://helsing.ai/jobs/4741224101?gh_jid=4741224101</t>
        </is>
      </c>
      <c r="F63" t="inlineStr">
        <is>
          <t>career-ops scan</t>
        </is>
      </c>
      <c r="G63" s="1" t="n"/>
      <c r="H63" t="inlineStr">
        <is>
          <t>Tier A</t>
        </is>
      </c>
      <c r="I63" t="n">
        <v>3</v>
      </c>
      <c r="J63" s="1" t="n"/>
      <c r="K63" t="inlineStr">
        <is>
          <t>4. Pending</t>
        </is>
      </c>
      <c r="L63" t="inlineStr">
        <is>
          <t>Loc:  | verify: unclear</t>
        </is>
      </c>
    </row>
    <row r="64">
      <c r="A64">
        <f>ROW()-1</f>
        <v/>
      </c>
      <c r="B64" t="inlineStr">
        <is>
          <t>2026-05-06</t>
        </is>
      </c>
      <c r="C64" t="inlineStr">
        <is>
          <t>Helsing</t>
        </is>
      </c>
      <c r="D64" t="inlineStr">
        <is>
          <t>Software Engineer - Ground to Air HMI</t>
        </is>
      </c>
      <c r="E64" s="13" t="inlineStr">
        <is>
          <t>https://helsing.ai/jobs/4741242101?gh_jid=4741242101</t>
        </is>
      </c>
      <c r="F64" t="inlineStr">
        <is>
          <t>career-ops scan</t>
        </is>
      </c>
      <c r="G64" s="1" t="n"/>
      <c r="H64" t="inlineStr">
        <is>
          <t>Tier A</t>
        </is>
      </c>
      <c r="I64" t="n">
        <v>3</v>
      </c>
      <c r="J64" s="1" t="n"/>
      <c r="K64" t="inlineStr">
        <is>
          <t>4. Pending</t>
        </is>
      </c>
      <c r="L64" t="inlineStr">
        <is>
          <t>Loc:  | verify: unclear</t>
        </is>
      </c>
    </row>
    <row r="65">
      <c r="A65">
        <f>ROW()-1</f>
        <v/>
      </c>
      <c r="B65" t="inlineStr">
        <is>
          <t>2026-05-06</t>
        </is>
      </c>
      <c r="C65" t="inlineStr">
        <is>
          <t>Helsing</t>
        </is>
      </c>
      <c r="D65" t="inlineStr">
        <is>
          <t>Software Engineer - Infrastructure</t>
        </is>
      </c>
      <c r="E65" s="13" t="inlineStr">
        <is>
          <t>https://helsing.ai/jobs/4729613101?gh_jid=4729613101</t>
        </is>
      </c>
      <c r="F65" t="inlineStr">
        <is>
          <t>career-ops scan</t>
        </is>
      </c>
      <c r="G65" s="1" t="n"/>
      <c r="H65" t="inlineStr">
        <is>
          <t>Tier A</t>
        </is>
      </c>
      <c r="I65" t="n">
        <v>3</v>
      </c>
      <c r="J65" s="1" t="n"/>
      <c r="K65" t="inlineStr">
        <is>
          <t>4. Pending</t>
        </is>
      </c>
      <c r="L65" t="inlineStr">
        <is>
          <t>Loc:  | verify: unclear</t>
        </is>
      </c>
    </row>
    <row r="66">
      <c r="A66">
        <f>ROW()-1</f>
        <v/>
      </c>
      <c r="B66" t="inlineStr">
        <is>
          <t>2026-05-06</t>
        </is>
      </c>
      <c r="C66" t="inlineStr">
        <is>
          <t>Hootsuite</t>
        </is>
      </c>
      <c r="D66" t="inlineStr">
        <is>
          <t>Intermediate Software Developer, DevOps</t>
        </is>
      </c>
      <c r="E66" s="13" t="inlineStr">
        <is>
          <t>https://careers.hootsuite.com/job/?gh_jid=7582752</t>
        </is>
      </c>
      <c r="F66" t="inlineStr">
        <is>
          <t>career-ops scan</t>
        </is>
      </c>
      <c r="G66" s="1" t="n"/>
      <c r="H66" t="inlineStr">
        <is>
          <t>Tier A</t>
        </is>
      </c>
      <c r="I66" t="n">
        <v>3</v>
      </c>
      <c r="J66" s="1" t="n"/>
      <c r="K66" t="inlineStr">
        <is>
          <t>4. Pending</t>
        </is>
      </c>
      <c r="L66" t="inlineStr">
        <is>
          <t>Loc:  | verify: unclear</t>
        </is>
      </c>
    </row>
    <row r="67">
      <c r="A67">
        <f>ROW()-1</f>
        <v/>
      </c>
      <c r="B67" t="inlineStr">
        <is>
          <t>2026-05-06</t>
        </is>
      </c>
      <c r="C67" t="inlineStr">
        <is>
          <t>Hootsuite</t>
        </is>
      </c>
      <c r="D67" t="inlineStr">
        <is>
          <t>Junior Software Developer, Backend</t>
        </is>
      </c>
      <c r="E67" s="13" t="inlineStr">
        <is>
          <t>https://careers.hootsuite.com/job/?gh_jid=7851293</t>
        </is>
      </c>
      <c r="F67" t="inlineStr">
        <is>
          <t>career-ops scan</t>
        </is>
      </c>
      <c r="G67" s="1" t="n"/>
      <c r="H67" t="inlineStr">
        <is>
          <t>Tier A</t>
        </is>
      </c>
      <c r="I67" t="n">
        <v>3</v>
      </c>
      <c r="J67" s="1" t="n"/>
      <c r="K67" t="inlineStr">
        <is>
          <t>4. Pending</t>
        </is>
      </c>
      <c r="L67" t="inlineStr">
        <is>
          <t>Loc:  | verify: unclear</t>
        </is>
      </c>
    </row>
    <row r="68">
      <c r="A68">
        <f>ROW()-1</f>
        <v/>
      </c>
      <c r="B68" t="inlineStr">
        <is>
          <t>2026-05-06</t>
        </is>
      </c>
      <c r="C68" t="inlineStr">
        <is>
          <t>Hootsuite</t>
        </is>
      </c>
      <c r="D68" t="inlineStr">
        <is>
          <t>Junior Software Developer, Frontend</t>
        </is>
      </c>
      <c r="E68" s="13" t="inlineStr">
        <is>
          <t>https://careers.hootsuite.com/job/?gh_jid=7821814</t>
        </is>
      </c>
      <c r="F68" t="inlineStr">
        <is>
          <t>career-ops scan</t>
        </is>
      </c>
      <c r="G68" s="1" t="n"/>
      <c r="H68" t="inlineStr">
        <is>
          <t>Tier A</t>
        </is>
      </c>
      <c r="I68" t="n">
        <v>3</v>
      </c>
      <c r="J68" s="1" t="n"/>
      <c r="K68" t="inlineStr">
        <is>
          <t>4. Pending</t>
        </is>
      </c>
      <c r="L68" t="inlineStr">
        <is>
          <t>Loc:  | verify: unclear</t>
        </is>
      </c>
    </row>
    <row r="69">
      <c r="A69">
        <f>ROW()-1</f>
        <v/>
      </c>
      <c r="B69" t="inlineStr">
        <is>
          <t>2026-05-06</t>
        </is>
      </c>
      <c r="C69" t="inlineStr">
        <is>
          <t>Hootsuite</t>
        </is>
      </c>
      <c r="D69" t="inlineStr">
        <is>
          <t>Senior Software Developer, DevOps</t>
        </is>
      </c>
      <c r="E69" s="13" t="inlineStr">
        <is>
          <t>https://careers.hootsuite.com/job/?gh_jid=7741151</t>
        </is>
      </c>
      <c r="F69" t="inlineStr">
        <is>
          <t>career-ops scan</t>
        </is>
      </c>
      <c r="G69" s="1" t="n"/>
      <c r="H69" t="inlineStr">
        <is>
          <t>Tier A</t>
        </is>
      </c>
      <c r="I69" t="n">
        <v>3</v>
      </c>
      <c r="J69" s="1" t="n"/>
      <c r="K69" t="inlineStr">
        <is>
          <t>4. Pending</t>
        </is>
      </c>
      <c r="L69" t="inlineStr">
        <is>
          <t>Loc:  | verify: unclear</t>
        </is>
      </c>
    </row>
    <row r="70">
      <c r="A70">
        <f>ROW()-1</f>
        <v/>
      </c>
      <c r="B70" t="inlineStr">
        <is>
          <t>2026-05-06</t>
        </is>
      </c>
      <c r="C70" t="inlineStr">
        <is>
          <t>Intercom</t>
        </is>
      </c>
      <c r="D70" t="inlineStr">
        <is>
          <t>Forward Deployed Software Engineer</t>
        </is>
      </c>
      <c r="E70" s="13" t="inlineStr">
        <is>
          <t>https://job-boards.greenhouse.io/intercom/jobs/7556413</t>
        </is>
      </c>
      <c r="F70" t="inlineStr">
        <is>
          <t>career-ops scan</t>
        </is>
      </c>
      <c r="G70" s="1" t="n"/>
      <c r="H70" t="inlineStr">
        <is>
          <t>Tier A</t>
        </is>
      </c>
      <c r="I70" t="n">
        <v>3</v>
      </c>
      <c r="J70" s="1" t="n"/>
      <c r="K70" t="inlineStr">
        <is>
          <t>4. Pending</t>
        </is>
      </c>
      <c r="L70" t="inlineStr">
        <is>
          <t>Loc:  | verify: unclear</t>
        </is>
      </c>
    </row>
    <row r="71">
      <c r="A71">
        <f>ROW()-1</f>
        <v/>
      </c>
      <c r="B71" t="inlineStr">
        <is>
          <t>2026-05-06</t>
        </is>
      </c>
      <c r="C71" t="inlineStr">
        <is>
          <t>Intercom</t>
        </is>
      </c>
      <c r="D71" t="inlineStr">
        <is>
          <t>Full-Stack Marketer, Customer Advocacy</t>
        </is>
      </c>
      <c r="E71" s="13" t="inlineStr">
        <is>
          <t>https://job-boards.greenhouse.io/intercom/jobs/7774295</t>
        </is>
      </c>
      <c r="F71" t="inlineStr">
        <is>
          <t>career-ops scan</t>
        </is>
      </c>
      <c r="G71" s="1" t="n"/>
      <c r="H71" t="inlineStr">
        <is>
          <t>Tier A</t>
        </is>
      </c>
      <c r="I71" t="n">
        <v>3</v>
      </c>
      <c r="J71" s="1" t="n"/>
      <c r="K71" t="inlineStr">
        <is>
          <t>4. Pending</t>
        </is>
      </c>
      <c r="L71" t="inlineStr">
        <is>
          <t>Loc:  | verify: unclear</t>
        </is>
      </c>
    </row>
    <row r="72">
      <c r="A72">
        <f>ROW()-1</f>
        <v/>
      </c>
      <c r="B72" t="inlineStr">
        <is>
          <t>2026-05-06</t>
        </is>
      </c>
      <c r="C72" t="inlineStr">
        <is>
          <t>Intercom</t>
        </is>
      </c>
      <c r="D72" t="inlineStr">
        <is>
          <t>Senior Full Stack Engineer - Team Web</t>
        </is>
      </c>
      <c r="E72" s="13" t="inlineStr">
        <is>
          <t>https://job-boards.greenhouse.io/intercom/jobs/7274831</t>
        </is>
      </c>
      <c r="F72" t="inlineStr">
        <is>
          <t>career-ops scan</t>
        </is>
      </c>
      <c r="G72" s="1" t="n"/>
      <c r="H72" t="inlineStr">
        <is>
          <t>Tier A</t>
        </is>
      </c>
      <c r="I72" t="n">
        <v>3</v>
      </c>
      <c r="J72" s="1" t="n"/>
      <c r="K72" t="inlineStr">
        <is>
          <t>4. Pending</t>
        </is>
      </c>
      <c r="L72" t="inlineStr">
        <is>
          <t>Loc:  | verify: unclear</t>
        </is>
      </c>
    </row>
    <row r="73">
      <c r="A73">
        <f>ROW()-1</f>
        <v/>
      </c>
      <c r="B73" t="inlineStr">
        <is>
          <t>2026-05-06</t>
        </is>
      </c>
      <c r="C73" t="inlineStr">
        <is>
          <t>Intercom</t>
        </is>
      </c>
      <c r="D73" t="inlineStr">
        <is>
          <t>Senior Software Engineer</t>
        </is>
      </c>
      <c r="E73" s="13" t="inlineStr">
        <is>
          <t>https://job-boards.greenhouse.io/intercom/jobs/5082494</t>
        </is>
      </c>
      <c r="F73" t="inlineStr">
        <is>
          <t>career-ops scan</t>
        </is>
      </c>
      <c r="G73" s="1" t="n"/>
      <c r="H73" t="inlineStr">
        <is>
          <t>Tier A</t>
        </is>
      </c>
      <c r="I73" t="n">
        <v>3</v>
      </c>
      <c r="J73" s="1" t="n"/>
      <c r="K73" t="inlineStr">
        <is>
          <t>4. Pending</t>
        </is>
      </c>
      <c r="L73" t="inlineStr">
        <is>
          <t>Loc:  | verify: unclear</t>
        </is>
      </c>
    </row>
    <row r="74">
      <c r="A74">
        <f>ROW()-1</f>
        <v/>
      </c>
      <c r="B74" t="inlineStr">
        <is>
          <t>2026-05-06</t>
        </is>
      </c>
      <c r="C74" t="inlineStr">
        <is>
          <t>Intercom</t>
        </is>
      </c>
      <c r="D74" t="inlineStr">
        <is>
          <t>Software Engineer</t>
        </is>
      </c>
      <c r="E74" s="13" t="inlineStr">
        <is>
          <t>https://job-boards.greenhouse.io/intercom/jobs/7371989</t>
        </is>
      </c>
      <c r="F74" t="inlineStr">
        <is>
          <t>career-ops scan</t>
        </is>
      </c>
      <c r="G74" s="1" t="n"/>
      <c r="H74" t="inlineStr">
        <is>
          <t>Tier A</t>
        </is>
      </c>
      <c r="I74" t="n">
        <v>3</v>
      </c>
      <c r="J74" s="1" t="n"/>
      <c r="K74" t="inlineStr">
        <is>
          <t>4. Pending</t>
        </is>
      </c>
      <c r="L74" t="inlineStr">
        <is>
          <t>Loc:  | verify: unclear</t>
        </is>
      </c>
    </row>
    <row r="75">
      <c r="A75">
        <f>ROW()-1</f>
        <v/>
      </c>
      <c r="B75" t="inlineStr">
        <is>
          <t>2026-05-06</t>
        </is>
      </c>
      <c r="C75" t="inlineStr">
        <is>
          <t>Legora</t>
        </is>
      </c>
      <c r="D75" t="inlineStr">
        <is>
          <t>React Native Engineer</t>
        </is>
      </c>
      <c r="E75" s="13" t="inlineStr">
        <is>
          <t>https://jobs.ashbyhq.com/legora/98e93c0a-b4c9-4083-8037-9c83a22e5bec</t>
        </is>
      </c>
      <c r="F75" t="inlineStr">
        <is>
          <t>career-ops scan</t>
        </is>
      </c>
      <c r="G75" s="1" t="n"/>
      <c r="H75" t="inlineStr">
        <is>
          <t>Tier A</t>
        </is>
      </c>
      <c r="I75" t="n">
        <v>3</v>
      </c>
      <c r="J75" s="1" t="n"/>
      <c r="K75" t="inlineStr">
        <is>
          <t>4. Pending</t>
        </is>
      </c>
      <c r="L75" t="inlineStr">
        <is>
          <t>Loc:  | verify: unclear</t>
        </is>
      </c>
    </row>
    <row r="76">
      <c r="A76">
        <f>ROW()-1</f>
        <v/>
      </c>
      <c r="B76" t="inlineStr">
        <is>
          <t>2026-05-06</t>
        </is>
      </c>
      <c r="C76" t="inlineStr">
        <is>
          <t>Legora</t>
        </is>
      </c>
      <c r="D76" t="inlineStr">
        <is>
          <t>Senior Backend Engineer</t>
        </is>
      </c>
      <c r="E76" s="13" t="inlineStr">
        <is>
          <t>https://jobs.ashbyhq.com/legora/e1b04e64-3eff-4583-b083-dcebc754f80a</t>
        </is>
      </c>
      <c r="F76" t="inlineStr">
        <is>
          <t>career-ops scan</t>
        </is>
      </c>
      <c r="G76" s="1" t="n"/>
      <c r="H76" t="inlineStr">
        <is>
          <t>Tier A</t>
        </is>
      </c>
      <c r="I76" t="n">
        <v>3</v>
      </c>
      <c r="J76" s="1" t="n"/>
      <c r="K76" t="inlineStr">
        <is>
          <t>4. Pending</t>
        </is>
      </c>
      <c r="L76" t="inlineStr">
        <is>
          <t>Loc:  | verify: unclear</t>
        </is>
      </c>
    </row>
    <row r="77">
      <c r="A77">
        <f>ROW()-1</f>
        <v/>
      </c>
      <c r="B77" t="inlineStr">
        <is>
          <t>2026-05-06</t>
        </is>
      </c>
      <c r="C77" t="inlineStr">
        <is>
          <t>Legora</t>
        </is>
      </c>
      <c r="D77" t="inlineStr">
        <is>
          <t>Senior Software Engineer</t>
        </is>
      </c>
      <c r="E77" s="13" t="inlineStr">
        <is>
          <t>https://jobs.ashbyhq.com/legora/056d9fc6-431c-40b6-b6ff-3a147b23b5c8</t>
        </is>
      </c>
      <c r="F77" t="inlineStr">
        <is>
          <t>career-ops scan</t>
        </is>
      </c>
      <c r="G77" s="1" t="n"/>
      <c r="H77" t="inlineStr">
        <is>
          <t>Tier A</t>
        </is>
      </c>
      <c r="I77" t="n">
        <v>3</v>
      </c>
      <c r="J77" s="1" t="n"/>
      <c r="K77" t="inlineStr">
        <is>
          <t>4. Pending</t>
        </is>
      </c>
      <c r="L77" t="inlineStr">
        <is>
          <t>Loc:  | verify: unclear</t>
        </is>
      </c>
    </row>
    <row r="78">
      <c r="A78">
        <f>ROW()-1</f>
        <v/>
      </c>
      <c r="B78" t="inlineStr">
        <is>
          <t>2026-05-06</t>
        </is>
      </c>
      <c r="C78" t="inlineStr">
        <is>
          <t>Legora</t>
        </is>
      </c>
      <c r="D78" t="inlineStr">
        <is>
          <t>Senior Software Engineer</t>
        </is>
      </c>
      <c r="E78" s="13" t="inlineStr">
        <is>
          <t>https://jobs.ashbyhq.com/legora/3fcdc6ba-e35f-470e-823e-7c4563c933a2</t>
        </is>
      </c>
      <c r="F78" t="inlineStr">
        <is>
          <t>career-ops scan</t>
        </is>
      </c>
      <c r="G78" s="1" t="n"/>
      <c r="H78" t="inlineStr">
        <is>
          <t>Tier A</t>
        </is>
      </c>
      <c r="I78" t="n">
        <v>3</v>
      </c>
      <c r="J78" s="1" t="n"/>
      <c r="K78" t="inlineStr">
        <is>
          <t>4. Pending</t>
        </is>
      </c>
      <c r="L78" t="inlineStr">
        <is>
          <t>Loc:  | verify: unclear</t>
        </is>
      </c>
    </row>
    <row r="79">
      <c r="A79">
        <f>ROW()-1</f>
        <v/>
      </c>
      <c r="B79" t="inlineStr">
        <is>
          <t>2026-05-06</t>
        </is>
      </c>
      <c r="C79" t="inlineStr">
        <is>
          <t>Legora</t>
        </is>
      </c>
      <c r="D79" t="inlineStr">
        <is>
          <t>Software Engineer</t>
        </is>
      </c>
      <c r="E79" s="13" t="inlineStr">
        <is>
          <t>https://jobs.ashbyhq.com/legora/9a04bbd8-0583-48de-9606-431c01079b8b</t>
        </is>
      </c>
      <c r="F79" t="inlineStr">
        <is>
          <t>career-ops scan</t>
        </is>
      </c>
      <c r="G79" s="1" t="n"/>
      <c r="H79" t="inlineStr">
        <is>
          <t>Tier A</t>
        </is>
      </c>
      <c r="I79" t="n">
        <v>3</v>
      </c>
      <c r="J79" s="1" t="n"/>
      <c r="K79" t="inlineStr">
        <is>
          <t>4. Pending</t>
        </is>
      </c>
      <c r="L79" t="inlineStr">
        <is>
          <t>Loc:  | verify: unclear</t>
        </is>
      </c>
    </row>
    <row r="80">
      <c r="A80">
        <f>ROW()-1</f>
        <v/>
      </c>
      <c r="B80" t="inlineStr">
        <is>
          <t>2026-05-06</t>
        </is>
      </c>
      <c r="C80" t="inlineStr">
        <is>
          <t>Legora</t>
        </is>
      </c>
      <c r="D80" t="inlineStr">
        <is>
          <t>Software Engineer</t>
        </is>
      </c>
      <c r="E80" s="13" t="inlineStr">
        <is>
          <t>https://jobs.ashbyhq.com/legora/f1ed20ac-add0-47f0-a6c5-2d6cf5149117</t>
        </is>
      </c>
      <c r="F80" t="inlineStr">
        <is>
          <t>career-ops scan</t>
        </is>
      </c>
      <c r="G80" s="1" t="n"/>
      <c r="H80" t="inlineStr">
        <is>
          <t>Tier A</t>
        </is>
      </c>
      <c r="I80" t="n">
        <v>3</v>
      </c>
      <c r="J80" s="1" t="n"/>
      <c r="K80" t="inlineStr">
        <is>
          <t>4. Pending</t>
        </is>
      </c>
      <c r="L80" t="inlineStr">
        <is>
          <t>Loc:  | verify: unclear</t>
        </is>
      </c>
    </row>
    <row r="81">
      <c r="A81">
        <f>ROW()-1</f>
        <v/>
      </c>
      <c r="B81" t="inlineStr">
        <is>
          <t>2026-05-06</t>
        </is>
      </c>
      <c r="C81" t="inlineStr">
        <is>
          <t>Legora</t>
        </is>
      </c>
      <c r="D81" t="inlineStr">
        <is>
          <t>Software Engineer (AI Focus)</t>
        </is>
      </c>
      <c r="E81" s="13" t="inlineStr">
        <is>
          <t>https://jobs.ashbyhq.com/legora/f81a4b5e-7ef3-4946-a147-f6c0645e98ca</t>
        </is>
      </c>
      <c r="F81" t="inlineStr">
        <is>
          <t>career-ops scan</t>
        </is>
      </c>
      <c r="G81" s="1" t="n"/>
      <c r="H81" t="inlineStr">
        <is>
          <t>Tier A</t>
        </is>
      </c>
      <c r="I81" t="n">
        <v>3</v>
      </c>
      <c r="J81" s="1" t="n"/>
      <c r="K81" t="inlineStr">
        <is>
          <t>4. Pending</t>
        </is>
      </c>
      <c r="L81" t="inlineStr">
        <is>
          <t>Loc:  | verify: unclear</t>
        </is>
      </c>
    </row>
    <row r="82">
      <c r="A82">
        <f>ROW()-1</f>
        <v/>
      </c>
      <c r="B82" t="inlineStr">
        <is>
          <t>2026-05-06</t>
        </is>
      </c>
      <c r="C82" t="inlineStr">
        <is>
          <t>Legora</t>
        </is>
      </c>
      <c r="D82" t="inlineStr">
        <is>
          <t>Software Engineer - AI Enablement &amp; Workplace Technology</t>
        </is>
      </c>
      <c r="E82" s="13" t="inlineStr">
        <is>
          <t>https://jobs.ashbyhq.com/legora/e4ce19dc-e800-42cd-835f-dcc43b96d004</t>
        </is>
      </c>
      <c r="F82" t="inlineStr">
        <is>
          <t>career-ops scan</t>
        </is>
      </c>
      <c r="G82" s="1" t="n"/>
      <c r="H82" t="inlineStr">
        <is>
          <t>Tier A</t>
        </is>
      </c>
      <c r="I82" t="n">
        <v>3</v>
      </c>
      <c r="J82" s="1" t="n"/>
      <c r="K82" t="inlineStr">
        <is>
          <t>4. Pending</t>
        </is>
      </c>
      <c r="L82" t="inlineStr">
        <is>
          <t>Loc:  | verify: unclear</t>
        </is>
      </c>
    </row>
    <row r="83">
      <c r="A83">
        <f>ROW()-1</f>
        <v/>
      </c>
      <c r="B83" t="inlineStr">
        <is>
          <t>2026-05-06</t>
        </is>
      </c>
      <c r="C83" t="inlineStr">
        <is>
          <t>Lovable</t>
        </is>
      </c>
      <c r="D83" t="inlineStr">
        <is>
          <t>Backend Product Engineer</t>
        </is>
      </c>
      <c r="E83" s="13" t="inlineStr">
        <is>
          <t>https://jobs.ashbyhq.com/lovable/e54d33ea-5f02-48b6-b75e-76ae704af693</t>
        </is>
      </c>
      <c r="F83" t="inlineStr">
        <is>
          <t>career-ops scan</t>
        </is>
      </c>
      <c r="G83" s="1" t="n"/>
      <c r="H83" t="inlineStr">
        <is>
          <t>Tier A</t>
        </is>
      </c>
      <c r="I83" t="n">
        <v>3</v>
      </c>
      <c r="J83" s="1" t="n"/>
      <c r="K83" t="inlineStr">
        <is>
          <t>4. Pending</t>
        </is>
      </c>
      <c r="L83" t="inlineStr">
        <is>
          <t>Loc:  | verify: unclear</t>
        </is>
      </c>
    </row>
    <row r="84">
      <c r="A84">
        <f>ROW()-1</f>
        <v/>
      </c>
      <c r="B84" t="inlineStr">
        <is>
          <t>2026-05-06</t>
        </is>
      </c>
      <c r="C84" t="inlineStr">
        <is>
          <t>Lovable</t>
        </is>
      </c>
      <c r="D84" t="inlineStr">
        <is>
          <t>FullStack Engineer - Product Security</t>
        </is>
      </c>
      <c r="E84" s="13" t="inlineStr">
        <is>
          <t>https://jobs.ashbyhq.com/lovable/1f86955c-2748-4cd6-bd69-7e5c2c3fe465</t>
        </is>
      </c>
      <c r="F84" t="inlineStr">
        <is>
          <t>career-ops scan</t>
        </is>
      </c>
      <c r="G84" s="1" t="n"/>
      <c r="H84" t="inlineStr">
        <is>
          <t>Tier A</t>
        </is>
      </c>
      <c r="I84" t="n">
        <v>3</v>
      </c>
      <c r="J84" s="1" t="n"/>
      <c r="K84" t="inlineStr">
        <is>
          <t>4. Pending</t>
        </is>
      </c>
      <c r="L84" t="inlineStr">
        <is>
          <t>Loc:  | verify: unclear</t>
        </is>
      </c>
    </row>
    <row r="85">
      <c r="A85">
        <f>ROW()-1</f>
        <v/>
      </c>
      <c r="B85" t="inlineStr">
        <is>
          <t>2026-05-06</t>
        </is>
      </c>
      <c r="C85" t="inlineStr">
        <is>
          <t>Lovable</t>
        </is>
      </c>
      <c r="D85" t="inlineStr">
        <is>
          <t>Fullstack Engineer - AI Code Security</t>
        </is>
      </c>
      <c r="E85" s="13" t="inlineStr">
        <is>
          <t>https://jobs.ashbyhq.com/lovable/e27e931e-79f3-483a-b543-57e42633ac5c</t>
        </is>
      </c>
      <c r="F85" t="inlineStr">
        <is>
          <t>career-ops scan</t>
        </is>
      </c>
      <c r="G85" s="1" t="n"/>
      <c r="H85" t="inlineStr">
        <is>
          <t>Tier A</t>
        </is>
      </c>
      <c r="I85" t="n">
        <v>3</v>
      </c>
      <c r="J85" s="1" t="n"/>
      <c r="K85" t="inlineStr">
        <is>
          <t>4. Pending</t>
        </is>
      </c>
      <c r="L85" t="inlineStr">
        <is>
          <t>Loc:  | verify: unclear</t>
        </is>
      </c>
    </row>
    <row r="86">
      <c r="A86">
        <f>ROW()-1</f>
        <v/>
      </c>
      <c r="B86" t="inlineStr">
        <is>
          <t>2026-05-06</t>
        </is>
      </c>
      <c r="C86" t="inlineStr">
        <is>
          <t>Lovable</t>
        </is>
      </c>
      <c r="D86" t="inlineStr">
        <is>
          <t>Fullstack Engineer - Lovable Apps Platform Team</t>
        </is>
      </c>
      <c r="E86" s="13" t="inlineStr">
        <is>
          <t>https://jobs.ashbyhq.com/lovable/0d76fa8d-4aaa-41e2-b5d8-d316648bdff8</t>
        </is>
      </c>
      <c r="F86" t="inlineStr">
        <is>
          <t>career-ops scan</t>
        </is>
      </c>
      <c r="G86" s="1" t="n"/>
      <c r="H86" t="inlineStr">
        <is>
          <t>Tier A</t>
        </is>
      </c>
      <c r="I86" t="n">
        <v>3</v>
      </c>
      <c r="J86" s="1" t="n"/>
      <c r="K86" t="inlineStr">
        <is>
          <t>4. Pending</t>
        </is>
      </c>
      <c r="L86" t="inlineStr">
        <is>
          <t>Loc:  | verify: unclear</t>
        </is>
      </c>
    </row>
    <row r="87">
      <c r="A87">
        <f>ROW()-1</f>
        <v/>
      </c>
      <c r="B87" t="inlineStr">
        <is>
          <t>2026-05-06</t>
        </is>
      </c>
      <c r="C87" t="inlineStr">
        <is>
          <t>Lovable</t>
        </is>
      </c>
      <c r="D87" t="inlineStr">
        <is>
          <t>Fullstack Growth Engineer</t>
        </is>
      </c>
      <c r="E87" s="13" t="inlineStr">
        <is>
          <t>https://jobs.ashbyhq.com/lovable/581951b9-537e-49d5-89fb-dd74cdf3256c</t>
        </is>
      </c>
      <c r="F87" t="inlineStr">
        <is>
          <t>career-ops scan</t>
        </is>
      </c>
      <c r="G87" s="1" t="n"/>
      <c r="H87" t="inlineStr">
        <is>
          <t>Tier A</t>
        </is>
      </c>
      <c r="I87" t="n">
        <v>3</v>
      </c>
      <c r="J87" s="1" t="n"/>
      <c r="K87" t="inlineStr">
        <is>
          <t>4. Pending</t>
        </is>
      </c>
      <c r="L87" t="inlineStr">
        <is>
          <t>Loc:  | verify: unclear</t>
        </is>
      </c>
    </row>
    <row r="88">
      <c r="A88">
        <f>ROW()-1</f>
        <v/>
      </c>
      <c r="B88" t="inlineStr">
        <is>
          <t>2026-05-06</t>
        </is>
      </c>
      <c r="C88" t="inlineStr">
        <is>
          <t>Lovable</t>
        </is>
      </c>
      <c r="D88" t="inlineStr">
        <is>
          <t>Fullstack Product Engineer</t>
        </is>
      </c>
      <c r="E88" s="13" t="inlineStr">
        <is>
          <t>https://jobs.ashbyhq.com/lovable/b9894757-c26b-4c5e-9ee8-3e18d9947fd6</t>
        </is>
      </c>
      <c r="F88" t="inlineStr">
        <is>
          <t>career-ops scan</t>
        </is>
      </c>
      <c r="G88" s="1" t="n"/>
      <c r="H88" t="inlineStr">
        <is>
          <t>Tier A</t>
        </is>
      </c>
      <c r="I88" t="n">
        <v>3</v>
      </c>
      <c r="J88" s="1" t="n"/>
      <c r="K88" t="inlineStr">
        <is>
          <t>4. Pending</t>
        </is>
      </c>
      <c r="L88" t="inlineStr">
        <is>
          <t>Loc:  | verify: unclear</t>
        </is>
      </c>
    </row>
    <row r="89">
      <c r="A89">
        <f>ROW()-1</f>
        <v/>
      </c>
      <c r="B89" t="inlineStr">
        <is>
          <t>2026-05-06</t>
        </is>
      </c>
      <c r="C89" t="inlineStr">
        <is>
          <t>Lovable</t>
        </is>
      </c>
      <c r="D89" t="inlineStr">
        <is>
          <t>Software Engineer - Infrastructure</t>
        </is>
      </c>
      <c r="E89" s="13" t="inlineStr">
        <is>
          <t>https://jobs.ashbyhq.com/lovable/920b4099-00bc-4d5e-9469-2c955ef3a662</t>
        </is>
      </c>
      <c r="F89" t="inlineStr">
        <is>
          <t>career-ops scan</t>
        </is>
      </c>
      <c r="G89" s="1" t="n"/>
      <c r="H89" t="inlineStr">
        <is>
          <t>Tier A</t>
        </is>
      </c>
      <c r="I89" t="n">
        <v>3</v>
      </c>
      <c r="J89" s="1" t="n"/>
      <c r="K89" t="inlineStr">
        <is>
          <t>4. Pending</t>
        </is>
      </c>
      <c r="L89" t="inlineStr">
        <is>
          <t>Loc:  | verify: unclear</t>
        </is>
      </c>
    </row>
    <row r="90">
      <c r="A90">
        <f>ROW()-1</f>
        <v/>
      </c>
      <c r="B90" t="inlineStr">
        <is>
          <t>2026-05-06</t>
        </is>
      </c>
      <c r="C90" t="inlineStr">
        <is>
          <t>Mistral AI</t>
        </is>
      </c>
      <c r="D90" t="inlineStr">
        <is>
          <t>Applied AI Engineer, Fullstack Software Engineer - EMEA</t>
        </is>
      </c>
      <c r="E90" s="13" t="inlineStr">
        <is>
          <t>https://jobs.lever.co/mistral/aceffeba-c4e9-4b3b-adff-e7e78b986c5c</t>
        </is>
      </c>
      <c r="F90" t="inlineStr">
        <is>
          <t>career-ops scan</t>
        </is>
      </c>
      <c r="G90" s="1" t="n"/>
      <c r="H90" t="inlineStr">
        <is>
          <t>Tier A</t>
        </is>
      </c>
      <c r="I90" t="n">
        <v>3</v>
      </c>
      <c r="J90" s="1" t="n"/>
      <c r="K90" t="inlineStr">
        <is>
          <t>4. Pending</t>
        </is>
      </c>
      <c r="L90" t="inlineStr">
        <is>
          <t>Loc:  | verify: unclear</t>
        </is>
      </c>
    </row>
    <row r="91">
      <c r="A91">
        <f>ROW()-1</f>
        <v/>
      </c>
      <c r="B91" t="inlineStr">
        <is>
          <t>2026-05-06</t>
        </is>
      </c>
      <c r="C91" t="inlineStr">
        <is>
          <t>Mistral AI</t>
        </is>
      </c>
      <c r="D91" t="inlineStr">
        <is>
          <t>Applied AI, Fullstack Software Engineer, Critical and Sovereign Institutions, Paris</t>
        </is>
      </c>
      <c r="E91" s="13" t="inlineStr">
        <is>
          <t>https://jobs.lever.co/mistral/de237900-114c-4e39-aa19-671bb3201eee</t>
        </is>
      </c>
      <c r="F91" t="inlineStr">
        <is>
          <t>career-ops scan</t>
        </is>
      </c>
      <c r="G91" s="1" t="n"/>
      <c r="H91" t="inlineStr">
        <is>
          <t>Tier A</t>
        </is>
      </c>
      <c r="I91" t="n">
        <v>3</v>
      </c>
      <c r="J91" s="1" t="n"/>
      <c r="K91" t="inlineStr">
        <is>
          <t>4. Pending</t>
        </is>
      </c>
      <c r="L91" t="inlineStr">
        <is>
          <t>Loc:  | verify: unclear</t>
        </is>
      </c>
    </row>
    <row r="92">
      <c r="A92">
        <f>ROW()-1</f>
        <v/>
      </c>
      <c r="B92" t="inlineStr">
        <is>
          <t>2026-05-06</t>
        </is>
      </c>
      <c r="C92" t="inlineStr">
        <is>
          <t>Mistral AI</t>
        </is>
      </c>
      <c r="D92" t="inlineStr">
        <is>
          <t>Mistral Cloud - Software Engineer, Backend (Golang)</t>
        </is>
      </c>
      <c r="E92" s="13" t="inlineStr">
        <is>
          <t>https://jobs.lever.co/mistral/64c9a48e-6d23-4090-bf0f-5a979830fbaf</t>
        </is>
      </c>
      <c r="F92" t="inlineStr">
        <is>
          <t>career-ops scan</t>
        </is>
      </c>
      <c r="G92" s="1" t="n"/>
      <c r="H92" t="inlineStr">
        <is>
          <t>Tier A</t>
        </is>
      </c>
      <c r="I92" t="n">
        <v>3</v>
      </c>
      <c r="J92" s="1" t="n"/>
      <c r="K92" t="inlineStr">
        <is>
          <t>4. Pending</t>
        </is>
      </c>
      <c r="L92" t="inlineStr">
        <is>
          <t>Loc:  | verify: unclear</t>
        </is>
      </c>
    </row>
    <row r="93">
      <c r="A93">
        <f>ROW()-1</f>
        <v/>
      </c>
      <c r="B93" t="inlineStr">
        <is>
          <t>2026-05-06</t>
        </is>
      </c>
      <c r="C93" t="inlineStr">
        <is>
          <t>Mistral AI</t>
        </is>
      </c>
      <c r="D93" t="inlineStr">
        <is>
          <t>Research Software Engineer - Paris/London</t>
        </is>
      </c>
      <c r="E93" s="13" t="inlineStr">
        <is>
          <t>https://jobs.lever.co/mistral/df0d75c1-97ef-4e50-85e6-0ffd8f5b7d7c</t>
        </is>
      </c>
      <c r="F93" t="inlineStr">
        <is>
          <t>career-ops scan</t>
        </is>
      </c>
      <c r="G93" s="1" t="n"/>
      <c r="H93" t="inlineStr">
        <is>
          <t>Tier A</t>
        </is>
      </c>
      <c r="I93" t="n">
        <v>3</v>
      </c>
      <c r="J93" s="1" t="n"/>
      <c r="K93" t="inlineStr">
        <is>
          <t>4. Pending</t>
        </is>
      </c>
      <c r="L93" t="inlineStr">
        <is>
          <t>Loc:  | verify: unclear</t>
        </is>
      </c>
    </row>
    <row r="94">
      <c r="A94">
        <f>ROW()-1</f>
        <v/>
      </c>
      <c r="B94" t="inlineStr">
        <is>
          <t>2026-05-06</t>
        </is>
      </c>
      <c r="C94" t="inlineStr">
        <is>
          <t>Mistral AI</t>
        </is>
      </c>
      <c r="D94" t="inlineStr">
        <is>
          <t>Software Engineer,  Frontend</t>
        </is>
      </c>
      <c r="E94" s="13" t="inlineStr">
        <is>
          <t>https://jobs.lever.co/mistral/305432ef-27ac-4012-a893-a662813ac6e9</t>
        </is>
      </c>
      <c r="F94" t="inlineStr">
        <is>
          <t>career-ops scan</t>
        </is>
      </c>
      <c r="G94" s="1" t="n"/>
      <c r="H94" t="inlineStr">
        <is>
          <t>Tier A</t>
        </is>
      </c>
      <c r="I94" t="n">
        <v>3</v>
      </c>
      <c r="J94" s="1" t="n"/>
      <c r="K94" t="inlineStr">
        <is>
          <t>4. Pending</t>
        </is>
      </c>
      <c r="L94" t="inlineStr">
        <is>
          <t>Loc:  | verify: unclear</t>
        </is>
      </c>
    </row>
    <row r="95">
      <c r="A95">
        <f>ROW()-1</f>
        <v/>
      </c>
      <c r="B95" t="inlineStr">
        <is>
          <t>2026-05-06</t>
        </is>
      </c>
      <c r="C95" t="inlineStr">
        <is>
          <t>Mistral AI</t>
        </is>
      </c>
      <c r="D95" t="inlineStr">
        <is>
          <t>Software Engineer, Backend (London)</t>
        </is>
      </c>
      <c r="E95" s="13" t="inlineStr">
        <is>
          <t>https://jobs.lever.co/mistral/77b8339f-da37-4f38-b554-1d154f72ca8f</t>
        </is>
      </c>
      <c r="F95" t="inlineStr">
        <is>
          <t>career-ops scan</t>
        </is>
      </c>
      <c r="G95" s="1" t="n"/>
      <c r="H95" t="inlineStr">
        <is>
          <t>Tier A</t>
        </is>
      </c>
      <c r="I95" t="n">
        <v>3</v>
      </c>
      <c r="J95" s="1" t="n"/>
      <c r="K95" t="inlineStr">
        <is>
          <t>4. Pending</t>
        </is>
      </c>
      <c r="L95" t="inlineStr">
        <is>
          <t>Loc:  | verify: unclear</t>
        </is>
      </c>
    </row>
    <row r="96">
      <c r="A96">
        <f>ROW()-1</f>
        <v/>
      </c>
      <c r="B96" t="inlineStr">
        <is>
          <t>2026-05-06</t>
        </is>
      </c>
      <c r="C96" t="inlineStr">
        <is>
          <t>Mistral AI</t>
        </is>
      </c>
      <c r="D96" t="inlineStr">
        <is>
          <t>Software Engineer, Backend (New-York)</t>
        </is>
      </c>
      <c r="E96" s="13" t="inlineStr">
        <is>
          <t>https://jobs.lever.co/mistral/f2e8ba75-bf5a-4976-bb96-c5d3e0f99366</t>
        </is>
      </c>
      <c r="F96" t="inlineStr">
        <is>
          <t>career-ops scan</t>
        </is>
      </c>
      <c r="G96" s="1" t="n"/>
      <c r="H96" t="inlineStr">
        <is>
          <t>Tier A</t>
        </is>
      </c>
      <c r="I96" t="n">
        <v>3</v>
      </c>
      <c r="J96" s="1" t="n"/>
      <c r="K96" t="inlineStr">
        <is>
          <t>4. Pending</t>
        </is>
      </c>
      <c r="L96" t="inlineStr">
        <is>
          <t>Loc:  | verify: unclear</t>
        </is>
      </c>
    </row>
    <row r="97">
      <c r="A97">
        <f>ROW()-1</f>
        <v/>
      </c>
      <c r="B97" t="inlineStr">
        <is>
          <t>2026-05-06</t>
        </is>
      </c>
      <c r="C97" t="inlineStr">
        <is>
          <t>Mistral AI</t>
        </is>
      </c>
      <c r="D97" t="inlineStr">
        <is>
          <t>Software Engineer, Backend (Paris)</t>
        </is>
      </c>
      <c r="E97" s="13" t="inlineStr">
        <is>
          <t>https://jobs.lever.co/mistral/e76d2957-2bf6-4d8f-90a2-29bf9a927823</t>
        </is>
      </c>
      <c r="F97" t="inlineStr">
        <is>
          <t>career-ops scan</t>
        </is>
      </c>
      <c r="G97" s="1" t="n"/>
      <c r="H97" t="inlineStr">
        <is>
          <t>Tier A</t>
        </is>
      </c>
      <c r="I97" t="n">
        <v>3</v>
      </c>
      <c r="J97" s="1" t="n"/>
      <c r="K97" t="inlineStr">
        <is>
          <t>4. Pending</t>
        </is>
      </c>
      <c r="L97" t="inlineStr">
        <is>
          <t>Loc:  | verify: unclear</t>
        </is>
      </c>
    </row>
    <row r="98">
      <c r="A98">
        <f>ROW()-1</f>
        <v/>
      </c>
      <c r="B98" t="inlineStr">
        <is>
          <t>2026-05-06</t>
        </is>
      </c>
      <c r="C98" t="inlineStr">
        <is>
          <t>Mistral AI</t>
        </is>
      </c>
      <c r="D98" t="inlineStr">
        <is>
          <t>Software Engineer, Deployment Infrastructure</t>
        </is>
      </c>
      <c r="E98" s="13" t="inlineStr">
        <is>
          <t>https://jobs.lever.co/mistral/31364497-4081-454a-b50c-12d15daf6876</t>
        </is>
      </c>
      <c r="F98" t="inlineStr">
        <is>
          <t>career-ops scan</t>
        </is>
      </c>
      <c r="G98" s="1" t="n"/>
      <c r="H98" t="inlineStr">
        <is>
          <t>Tier A</t>
        </is>
      </c>
      <c r="I98" t="n">
        <v>3</v>
      </c>
      <c r="J98" s="1" t="n"/>
      <c r="K98" t="inlineStr">
        <is>
          <t>4. Pending</t>
        </is>
      </c>
      <c r="L98" t="inlineStr">
        <is>
          <t>Loc:  | verify: unclear</t>
        </is>
      </c>
    </row>
    <row r="99">
      <c r="A99">
        <f>ROW()-1</f>
        <v/>
      </c>
      <c r="B99" t="inlineStr">
        <is>
          <t>2026-05-06</t>
        </is>
      </c>
      <c r="C99" t="inlineStr">
        <is>
          <t>Mistral AI</t>
        </is>
      </c>
      <c r="D99" t="inlineStr">
        <is>
          <t>Software Engineer, DevEx</t>
        </is>
      </c>
      <c r="E99" s="13" t="inlineStr">
        <is>
          <t>https://jobs.lever.co/mistral/c9e16eb0-0cb9-423d-8495-a96d10782622</t>
        </is>
      </c>
      <c r="F99" t="inlineStr">
        <is>
          <t>career-ops scan</t>
        </is>
      </c>
      <c r="G99" s="1" t="n"/>
      <c r="H99" t="inlineStr">
        <is>
          <t>Tier A</t>
        </is>
      </c>
      <c r="I99" t="n">
        <v>3</v>
      </c>
      <c r="J99" s="1" t="n"/>
      <c r="K99" t="inlineStr">
        <is>
          <t>4. Pending</t>
        </is>
      </c>
      <c r="L99" t="inlineStr">
        <is>
          <t>Loc:  | verify: unclear</t>
        </is>
      </c>
    </row>
    <row r="100">
      <c r="A100">
        <f>ROW()-1</f>
        <v/>
      </c>
      <c r="B100" t="inlineStr">
        <is>
          <t>2026-05-06</t>
        </is>
      </c>
      <c r="C100" t="inlineStr">
        <is>
          <t>Mistral AI</t>
        </is>
      </c>
      <c r="D100" t="inlineStr">
        <is>
          <t>Software Engineer, Enterprise Agents</t>
        </is>
      </c>
      <c r="E100" s="13" t="inlineStr">
        <is>
          <t>https://jobs.lever.co/mistral/3eef7a1f-cd9d-430e-ac67-9d52534c346a</t>
        </is>
      </c>
      <c r="F100" t="inlineStr">
        <is>
          <t>career-ops scan</t>
        </is>
      </c>
      <c r="G100" s="1" t="n"/>
      <c r="H100" t="inlineStr">
        <is>
          <t>Tier A</t>
        </is>
      </c>
      <c r="I100" t="n">
        <v>3</v>
      </c>
      <c r="J100" s="1" t="n"/>
      <c r="K100" t="inlineStr">
        <is>
          <t>4. Pending</t>
        </is>
      </c>
      <c r="L100" t="inlineStr">
        <is>
          <t>Loc:  | verify: unclear</t>
        </is>
      </c>
    </row>
    <row r="101">
      <c r="A101">
        <f>ROW()-1</f>
        <v/>
      </c>
      <c r="B101" t="inlineStr">
        <is>
          <t>2026-05-06</t>
        </is>
      </c>
      <c r="C101" t="inlineStr">
        <is>
          <t>Mistral AI</t>
        </is>
      </c>
      <c r="D101" t="inlineStr">
        <is>
          <t>Software Engineer, Knowledge and Search</t>
        </is>
      </c>
      <c r="E101" s="13" t="inlineStr">
        <is>
          <t>https://jobs.lever.co/mistral/70d5293a-9183-40d9-874a-cc08a14d5de6</t>
        </is>
      </c>
      <c r="F101" t="inlineStr">
        <is>
          <t>career-ops scan</t>
        </is>
      </c>
      <c r="G101" s="1" t="n"/>
      <c r="H101" t="inlineStr">
        <is>
          <t>Tier A</t>
        </is>
      </c>
      <c r="I101" t="n">
        <v>3</v>
      </c>
      <c r="J101" s="1" t="n"/>
      <c r="K101" t="inlineStr">
        <is>
          <t>4. Pending</t>
        </is>
      </c>
      <c r="L101" t="inlineStr">
        <is>
          <t>Loc:  | verify: unclear</t>
        </is>
      </c>
    </row>
    <row r="102">
      <c r="A102">
        <f>ROW()-1</f>
        <v/>
      </c>
      <c r="B102" t="inlineStr">
        <is>
          <t>2026-05-06</t>
        </is>
      </c>
      <c r="C102" t="inlineStr">
        <is>
          <t>Mistral AI</t>
        </is>
      </c>
      <c r="D102" t="inlineStr">
        <is>
          <t>Software Engineer, QA</t>
        </is>
      </c>
      <c r="E102" s="13" t="inlineStr">
        <is>
          <t>https://jobs.lever.co/mistral/03918386-cb56-4e4d-afa8-1f8b7676a4a6</t>
        </is>
      </c>
      <c r="F102" t="inlineStr">
        <is>
          <t>career-ops scan</t>
        </is>
      </c>
      <c r="G102" s="1" t="n"/>
      <c r="H102" t="inlineStr">
        <is>
          <t>Tier A</t>
        </is>
      </c>
      <c r="I102" t="n">
        <v>3</v>
      </c>
      <c r="J102" s="1" t="n"/>
      <c r="K102" t="inlineStr">
        <is>
          <t>4. Pending</t>
        </is>
      </c>
      <c r="L102" t="inlineStr">
        <is>
          <t>Loc:  | verify: unclear</t>
        </is>
      </c>
    </row>
    <row r="103">
      <c r="A103">
        <f>ROW()-1</f>
        <v/>
      </c>
      <c r="B103" t="inlineStr">
        <is>
          <t>2026-05-06</t>
        </is>
      </c>
      <c r="C103" t="inlineStr">
        <is>
          <t>N26</t>
        </is>
      </c>
      <c r="D103" t="inlineStr">
        <is>
          <t>Lead Backend Engineer - Assistance</t>
        </is>
      </c>
      <c r="E103" s="13" t="inlineStr">
        <is>
          <t>https://n26.com/en-eu/careers/positions/7686804?gh_jid=7686804</t>
        </is>
      </c>
      <c r="F103" t="inlineStr">
        <is>
          <t>career-ops scan</t>
        </is>
      </c>
      <c r="G103" s="1" t="n"/>
      <c r="H103" t="inlineStr">
        <is>
          <t>Tier A</t>
        </is>
      </c>
      <c r="I103" t="n">
        <v>3</v>
      </c>
      <c r="J103" s="1" t="n"/>
      <c r="K103" t="inlineStr">
        <is>
          <t>4. Pending</t>
        </is>
      </c>
      <c r="L103" t="inlineStr">
        <is>
          <t>Loc:  | verify: unclear</t>
        </is>
      </c>
    </row>
    <row r="104">
      <c r="A104">
        <f>ROW()-1</f>
        <v/>
      </c>
      <c r="B104" t="inlineStr">
        <is>
          <t>2026-05-06</t>
        </is>
      </c>
      <c r="C104" t="inlineStr">
        <is>
          <t>N26</t>
        </is>
      </c>
      <c r="D104" t="inlineStr">
        <is>
          <t>Senior Backend Engineer</t>
        </is>
      </c>
      <c r="E104" s="13" t="inlineStr">
        <is>
          <t>https://n26.com/en-eu/careers/positions/7811482?gh_jid=7811482</t>
        </is>
      </c>
      <c r="F104" t="inlineStr">
        <is>
          <t>career-ops scan</t>
        </is>
      </c>
      <c r="G104" s="1" t="n"/>
      <c r="H104" t="inlineStr">
        <is>
          <t>Tier A</t>
        </is>
      </c>
      <c r="I104" t="n">
        <v>3</v>
      </c>
      <c r="J104" s="1" t="n"/>
      <c r="K104" t="inlineStr">
        <is>
          <t>4. Pending</t>
        </is>
      </c>
      <c r="L104" t="inlineStr">
        <is>
          <t>Loc:  | verify: unclear</t>
        </is>
      </c>
    </row>
    <row r="105">
      <c r="A105">
        <f>ROW()-1</f>
        <v/>
      </c>
      <c r="B105" t="inlineStr">
        <is>
          <t>2026-05-06</t>
        </is>
      </c>
      <c r="C105" t="inlineStr">
        <is>
          <t>N26</t>
        </is>
      </c>
      <c r="D105" t="inlineStr">
        <is>
          <t>Senior Full-Stack Security Automation Engineer</t>
        </is>
      </c>
      <c r="E105" s="13" t="inlineStr">
        <is>
          <t>https://n26.com/en-eu/careers/positions/7577884?gh_jid=7577884</t>
        </is>
      </c>
      <c r="F105" t="inlineStr">
        <is>
          <t>career-ops scan</t>
        </is>
      </c>
      <c r="G105" s="1" t="n"/>
      <c r="H105" t="inlineStr">
        <is>
          <t>Tier A</t>
        </is>
      </c>
      <c r="I105" t="n">
        <v>3</v>
      </c>
      <c r="J105" s="1" t="n"/>
      <c r="K105" t="inlineStr">
        <is>
          <t>4. Pending</t>
        </is>
      </c>
      <c r="L105" t="inlineStr">
        <is>
          <t>Loc:  | verify: unclear</t>
        </is>
      </c>
    </row>
    <row r="106">
      <c r="A106">
        <f>ROW()-1</f>
        <v/>
      </c>
      <c r="B106" t="inlineStr">
        <is>
          <t>2026-05-06</t>
        </is>
      </c>
      <c r="C106" t="inlineStr">
        <is>
          <t>N26</t>
        </is>
      </c>
      <c r="D106" t="inlineStr">
        <is>
          <t>Senior Product Manager - Payments Platform (Backend)</t>
        </is>
      </c>
      <c r="E106" s="13" t="inlineStr">
        <is>
          <t>https://n26.com/en-eu/careers/positions/7140058?gh_jid=7140058</t>
        </is>
      </c>
      <c r="F106" t="inlineStr">
        <is>
          <t>career-ops scan</t>
        </is>
      </c>
      <c r="G106" s="1" t="n"/>
      <c r="H106" t="inlineStr">
        <is>
          <t>Tier A</t>
        </is>
      </c>
      <c r="I106" t="n">
        <v>3</v>
      </c>
      <c r="J106" s="1" t="n"/>
      <c r="K106" t="inlineStr">
        <is>
          <t>4. Pending</t>
        </is>
      </c>
      <c r="L106" t="inlineStr">
        <is>
          <t>Loc:  | verify: unclear</t>
        </is>
      </c>
    </row>
    <row r="107">
      <c r="A107">
        <f>ROW()-1</f>
        <v/>
      </c>
      <c r="B107" t="inlineStr">
        <is>
          <t>2026-05-06</t>
        </is>
      </c>
      <c r="C107" t="inlineStr">
        <is>
          <t>n8n</t>
        </is>
      </c>
      <c r="D107" t="inlineStr">
        <is>
          <t>Senior Product Engineer (TS/NodeJS/Vue)</t>
        </is>
      </c>
      <c r="E107" s="13" t="inlineStr">
        <is>
          <t>https://jobs.ashbyhq.com/n8n/896c58a8-0388-4037-b265-82b15633a568</t>
        </is>
      </c>
      <c r="F107" t="inlineStr">
        <is>
          <t>career-ops scan</t>
        </is>
      </c>
      <c r="G107" s="1" t="n"/>
      <c r="H107" t="inlineStr">
        <is>
          <t>Tier A</t>
        </is>
      </c>
      <c r="I107" t="n">
        <v>3</v>
      </c>
      <c r="J107" s="1" t="n"/>
      <c r="K107" t="inlineStr">
        <is>
          <t>4. Pending</t>
        </is>
      </c>
      <c r="L107" t="inlineStr">
        <is>
          <t>Loc:  | verify: unclear</t>
        </is>
      </c>
    </row>
    <row r="108">
      <c r="A108">
        <f>ROW()-1</f>
        <v/>
      </c>
      <c r="B108" t="inlineStr">
        <is>
          <t>2026-05-06</t>
        </is>
      </c>
      <c r="C108" t="inlineStr">
        <is>
          <t>Pigment</t>
        </is>
      </c>
      <c r="D108" t="inlineStr">
        <is>
          <t>Engineering Manager - Front-end background</t>
        </is>
      </c>
      <c r="E108" s="13" t="inlineStr">
        <is>
          <t>https://jobs.lever.co/pigment/4c49978c-2aff-45cb-add9-921c8fc41b2b</t>
        </is>
      </c>
      <c r="F108" t="inlineStr">
        <is>
          <t>career-ops scan</t>
        </is>
      </c>
      <c r="G108" s="1" t="n"/>
      <c r="H108" t="inlineStr">
        <is>
          <t>Tier A</t>
        </is>
      </c>
      <c r="I108" t="n">
        <v>3</v>
      </c>
      <c r="J108" s="1" t="n"/>
      <c r="K108" t="inlineStr">
        <is>
          <t>4. Pending</t>
        </is>
      </c>
      <c r="L108" t="inlineStr">
        <is>
          <t>Loc:  | verify: unclear</t>
        </is>
      </c>
    </row>
    <row r="109">
      <c r="A109">
        <f>ROW()-1</f>
        <v/>
      </c>
      <c r="B109" t="inlineStr">
        <is>
          <t>2026-05-06</t>
        </is>
      </c>
      <c r="C109" t="inlineStr">
        <is>
          <t>Pigment</t>
        </is>
      </c>
      <c r="D109" t="inlineStr">
        <is>
          <t>Front-end Engineer</t>
        </is>
      </c>
      <c r="E109" s="13" t="inlineStr">
        <is>
          <t>https://jobs.lever.co/pigment/bbb9ea1a-fbb2-44ca-9195-770199323725</t>
        </is>
      </c>
      <c r="F109" t="inlineStr">
        <is>
          <t>career-ops scan</t>
        </is>
      </c>
      <c r="G109" s="1" t="n"/>
      <c r="H109" t="inlineStr">
        <is>
          <t>Tier A</t>
        </is>
      </c>
      <c r="I109" t="n">
        <v>3</v>
      </c>
      <c r="J109" s="1" t="n"/>
      <c r="K109" t="inlineStr">
        <is>
          <t>4. Pending</t>
        </is>
      </c>
      <c r="L109" t="inlineStr">
        <is>
          <t>Loc:  | verify: unclear</t>
        </is>
      </c>
    </row>
    <row r="110">
      <c r="A110">
        <f>ROW()-1</f>
        <v/>
      </c>
      <c r="B110" t="inlineStr">
        <is>
          <t>2026-05-06</t>
        </is>
      </c>
      <c r="C110" t="inlineStr">
        <is>
          <t>Pigment</t>
        </is>
      </c>
      <c r="D110" t="inlineStr">
        <is>
          <t>Fullstack Software Engineer</t>
        </is>
      </c>
      <c r="E110" s="13" t="inlineStr">
        <is>
          <t>https://jobs.lever.co/pigment/d41c13a1-9fa5-4d4e-8f50-d3c10852c8e0</t>
        </is>
      </c>
      <c r="F110" t="inlineStr">
        <is>
          <t>career-ops scan</t>
        </is>
      </c>
      <c r="G110" s="1" t="n"/>
      <c r="H110" t="inlineStr">
        <is>
          <t>Tier A</t>
        </is>
      </c>
      <c r="I110" t="n">
        <v>3</v>
      </c>
      <c r="J110" s="1" t="n"/>
      <c r="K110" t="inlineStr">
        <is>
          <t>4. Pending</t>
        </is>
      </c>
      <c r="L110" t="inlineStr">
        <is>
          <t>Loc:  | verify: unclear</t>
        </is>
      </c>
    </row>
    <row r="111">
      <c r="A111">
        <f>ROW()-1</f>
        <v/>
      </c>
      <c r="B111" t="inlineStr">
        <is>
          <t>2026-05-06</t>
        </is>
      </c>
      <c r="C111" t="inlineStr">
        <is>
          <t>Pigment</t>
        </is>
      </c>
      <c r="D111" t="inlineStr">
        <is>
          <t>Senior Backend Software Engineer</t>
        </is>
      </c>
      <c r="E111" s="13" t="inlineStr">
        <is>
          <t>https://jobs.lever.co/pigment/5afbde72-ff75-4841-9ab5-2a95decbc6f2</t>
        </is>
      </c>
      <c r="F111" t="inlineStr">
        <is>
          <t>career-ops scan</t>
        </is>
      </c>
      <c r="G111" s="1" t="n"/>
      <c r="H111" t="inlineStr">
        <is>
          <t>Tier A</t>
        </is>
      </c>
      <c r="I111" t="n">
        <v>3</v>
      </c>
      <c r="J111" s="1" t="n"/>
      <c r="K111" t="inlineStr">
        <is>
          <t>4. Pending</t>
        </is>
      </c>
      <c r="L111" t="inlineStr">
        <is>
          <t>Loc:  | verify: unclear</t>
        </is>
      </c>
    </row>
    <row r="112">
      <c r="A112">
        <f>ROW()-1</f>
        <v/>
      </c>
      <c r="B112" t="inlineStr">
        <is>
          <t>2026-05-06</t>
        </is>
      </c>
      <c r="C112" t="inlineStr">
        <is>
          <t>Pigment</t>
        </is>
      </c>
      <c r="D112" t="inlineStr">
        <is>
          <t>Senior Backend Software Engineer (UK)</t>
        </is>
      </c>
      <c r="E112" s="13" t="inlineStr">
        <is>
          <t>https://jobs.lever.co/pigment/068f30f5-4343-4a85-ba52-a35ca2e2581f</t>
        </is>
      </c>
      <c r="F112" t="inlineStr">
        <is>
          <t>career-ops scan</t>
        </is>
      </c>
      <c r="G112" s="1" t="n"/>
      <c r="H112" t="inlineStr">
        <is>
          <t>Tier A</t>
        </is>
      </c>
      <c r="I112" t="n">
        <v>3</v>
      </c>
      <c r="J112" s="1" t="n"/>
      <c r="K112" t="inlineStr">
        <is>
          <t>4. Pending</t>
        </is>
      </c>
      <c r="L112" t="inlineStr">
        <is>
          <t>Loc:  | verify: unclear</t>
        </is>
      </c>
    </row>
    <row r="113">
      <c r="A113">
        <f>ROW()-1</f>
        <v/>
      </c>
      <c r="B113" t="inlineStr">
        <is>
          <t>2026-05-06</t>
        </is>
      </c>
      <c r="C113" t="inlineStr">
        <is>
          <t>Pigment</t>
        </is>
      </c>
      <c r="D113" t="inlineStr">
        <is>
          <t>Senior Frontend Engineer (UK)</t>
        </is>
      </c>
      <c r="E113" s="13" t="inlineStr">
        <is>
          <t>https://jobs.lever.co/pigment/cb04a184-0756-461c-b4b3-58f779a82b09</t>
        </is>
      </c>
      <c r="F113" t="inlineStr">
        <is>
          <t>career-ops scan</t>
        </is>
      </c>
      <c r="G113" s="1" t="n"/>
      <c r="H113" t="inlineStr">
        <is>
          <t>Tier A</t>
        </is>
      </c>
      <c r="I113" t="n">
        <v>3</v>
      </c>
      <c r="J113" s="1" t="n"/>
      <c r="K113" t="inlineStr">
        <is>
          <t>4. Pending</t>
        </is>
      </c>
      <c r="L113" t="inlineStr">
        <is>
          <t>Loc:  | verify: unclear</t>
        </is>
      </c>
    </row>
    <row r="114">
      <c r="A114">
        <f>ROW()-1</f>
        <v/>
      </c>
      <c r="B114" t="inlineStr">
        <is>
          <t>2026-05-06</t>
        </is>
      </c>
      <c r="C114" t="inlineStr">
        <is>
          <t>Pigment</t>
        </is>
      </c>
      <c r="D114" t="inlineStr">
        <is>
          <t>Senior Frontend Software Engineer</t>
        </is>
      </c>
      <c r="E114" s="13" t="inlineStr">
        <is>
          <t>https://jobs.lever.co/pigment/24e3e6d8-56a3-4917-acbe-ec85d0c8cf13</t>
        </is>
      </c>
      <c r="F114" t="inlineStr">
        <is>
          <t>career-ops scan</t>
        </is>
      </c>
      <c r="G114" s="1" t="n"/>
      <c r="H114" t="inlineStr">
        <is>
          <t>Tier A</t>
        </is>
      </c>
      <c r="I114" t="n">
        <v>3</v>
      </c>
      <c r="J114" s="1" t="n"/>
      <c r="K114" t="inlineStr">
        <is>
          <t>4. Pending</t>
        </is>
      </c>
      <c r="L114" t="inlineStr">
        <is>
          <t>Loc:  | verify: unclear</t>
        </is>
      </c>
    </row>
    <row r="115">
      <c r="A115" s="18">
        <f>ROW()-1</f>
        <v/>
      </c>
      <c r="B115" s="18" t="inlineStr">
        <is>
          <t>2026-05-06</t>
        </is>
      </c>
      <c r="C115" s="18" t="inlineStr">
        <is>
          <t>Pigment</t>
        </is>
      </c>
      <c r="D115" s="18" t="inlineStr">
        <is>
          <t>Senior Fullstack Software Engineer</t>
        </is>
      </c>
      <c r="E115" s="13" t="inlineStr">
        <is>
          <t>https://jobs.lever.co/pigment/d4f42533-dabb-49c5-9846-24abbb3f61d8</t>
        </is>
      </c>
      <c r="F115" s="18" t="inlineStr">
        <is>
          <t>career-ops scan</t>
        </is>
      </c>
      <c r="G115" s="1" t="n"/>
      <c r="H115" s="18" t="inlineStr">
        <is>
          <t>Tier A</t>
        </is>
      </c>
      <c r="I115" s="18" t="n">
        <v>5</v>
      </c>
      <c r="J115" s="1" t="n"/>
      <c r="K115" s="18" t="inlineStr">
        <is>
          <t>1. Apply</t>
        </is>
      </c>
      <c r="L115" s="18" t="inlineStr">
        <is>
          <t>Loc:  | verify: unclear</t>
        </is>
      </c>
    </row>
    <row r="116">
      <c r="A116">
        <f>ROW()-1</f>
        <v/>
      </c>
      <c r="B116" t="inlineStr">
        <is>
          <t>2026-05-06</t>
        </is>
      </c>
      <c r="C116" t="inlineStr">
        <is>
          <t>Qonto</t>
        </is>
      </c>
      <c r="D116" t="inlineStr">
        <is>
          <t>Full-Stack Engineer - People Products (Freelance)</t>
        </is>
      </c>
      <c r="E116" s="13" t="inlineStr">
        <is>
          <t>https://jobs.lever.co/qonto/21bf0ae1-b5b1-428a-b1e6-2cdb9476987e</t>
        </is>
      </c>
      <c r="F116" t="inlineStr">
        <is>
          <t>career-ops scan</t>
        </is>
      </c>
      <c r="G116" s="1" t="n"/>
      <c r="H116" t="inlineStr">
        <is>
          <t>Tier A</t>
        </is>
      </c>
      <c r="I116" t="n">
        <v>3</v>
      </c>
      <c r="J116" s="1" t="n"/>
      <c r="K116" t="inlineStr">
        <is>
          <t>4. Pending</t>
        </is>
      </c>
      <c r="L116" t="inlineStr">
        <is>
          <t>Loc:  | verify: unclear</t>
        </is>
      </c>
    </row>
    <row r="117">
      <c r="A117">
        <f>ROW()-1</f>
        <v/>
      </c>
      <c r="B117" t="inlineStr">
        <is>
          <t>2026-05-06</t>
        </is>
      </c>
      <c r="C117" t="inlineStr">
        <is>
          <t>Qonto</t>
        </is>
      </c>
      <c r="D117" t="inlineStr">
        <is>
          <t>Product Engineer - Accounting Domain (Frontend: React)</t>
        </is>
      </c>
      <c r="E117" s="13" t="inlineStr">
        <is>
          <t>https://jobs.lever.co/qonto/5e9f184e-0785-41d3-9a41-28b4dc317c87</t>
        </is>
      </c>
      <c r="F117" t="inlineStr">
        <is>
          <t>career-ops scan</t>
        </is>
      </c>
      <c r="G117" s="1" t="n"/>
      <c r="H117" t="inlineStr">
        <is>
          <t>Tier A</t>
        </is>
      </c>
      <c r="I117" t="n">
        <v>3</v>
      </c>
      <c r="J117" s="1" t="n"/>
      <c r="K117" t="inlineStr">
        <is>
          <t>4. Pending</t>
        </is>
      </c>
      <c r="L117" t="inlineStr">
        <is>
          <t>Loc:  | verify: unclear</t>
        </is>
      </c>
    </row>
    <row r="118">
      <c r="A118">
        <f>ROW()-1</f>
        <v/>
      </c>
      <c r="B118" t="inlineStr">
        <is>
          <t>2026-05-06</t>
        </is>
      </c>
      <c r="C118" t="inlineStr">
        <is>
          <t>Qonto</t>
        </is>
      </c>
      <c r="D118" t="inlineStr">
        <is>
          <t>Software Engineer (Engineering Efficiency) - remote friendly</t>
        </is>
      </c>
      <c r="E118" s="13" t="inlineStr">
        <is>
          <t>https://jobs.lever.co/qonto/1f945bad-2c45-4ac1-be06-a219dc9e1a93</t>
        </is>
      </c>
      <c r="F118" t="inlineStr">
        <is>
          <t>career-ops scan</t>
        </is>
      </c>
      <c r="G118" s="1" t="n"/>
      <c r="H118" t="inlineStr">
        <is>
          <t>Tier A</t>
        </is>
      </c>
      <c r="I118" t="n">
        <v>3</v>
      </c>
      <c r="J118" s="1" t="n"/>
      <c r="K118" t="inlineStr">
        <is>
          <t>4. Pending</t>
        </is>
      </c>
      <c r="L118" t="inlineStr">
        <is>
          <t>Loc:  | verify: unclear</t>
        </is>
      </c>
    </row>
    <row r="119">
      <c r="A119">
        <f>ROW()-1</f>
        <v/>
      </c>
      <c r="B119" t="inlineStr">
        <is>
          <t>2026-05-06</t>
        </is>
      </c>
      <c r="C119" t="inlineStr">
        <is>
          <t>Synthesia</t>
        </is>
      </c>
      <c r="D119" t="inlineStr">
        <is>
          <t>Software Engineer, Back End Leaning (Tech Lead Level)</t>
        </is>
      </c>
      <c r="E119" s="13" t="inlineStr">
        <is>
          <t>https://jobs.ashbyhq.com/synthesia/bf515974-3bab-46cb-85fd-5bacafcc1a91</t>
        </is>
      </c>
      <c r="F119" t="inlineStr">
        <is>
          <t>career-ops scan</t>
        </is>
      </c>
      <c r="G119" s="1" t="n"/>
      <c r="H119" t="inlineStr">
        <is>
          <t>Tier A</t>
        </is>
      </c>
      <c r="I119" t="n">
        <v>3</v>
      </c>
      <c r="J119" s="1" t="n"/>
      <c r="K119" t="inlineStr">
        <is>
          <t>4. Pending</t>
        </is>
      </c>
      <c r="L119" t="inlineStr">
        <is>
          <t>Loc:  | verify: unclear</t>
        </is>
      </c>
    </row>
    <row r="120">
      <c r="A120">
        <f>ROW()-1</f>
        <v/>
      </c>
      <c r="B120" t="inlineStr">
        <is>
          <t>2026-05-06</t>
        </is>
      </c>
      <c r="C120" t="inlineStr">
        <is>
          <t>Synthesia</t>
        </is>
      </c>
      <c r="D120" t="inlineStr">
        <is>
          <t>Software Engineer, Front End Leaning (Accessibility)</t>
        </is>
      </c>
      <c r="E120" s="13" t="inlineStr">
        <is>
          <t>https://jobs.ashbyhq.com/synthesia/e1fedec8-ea12-4e7f-95e1-475b95dbd517</t>
        </is>
      </c>
      <c r="F120" t="inlineStr">
        <is>
          <t>career-ops scan</t>
        </is>
      </c>
      <c r="G120" s="1" t="n"/>
      <c r="H120" t="inlineStr">
        <is>
          <t>Tier A</t>
        </is>
      </c>
      <c r="I120" t="n">
        <v>3</v>
      </c>
      <c r="J120" s="1" t="n"/>
      <c r="K120" t="inlineStr">
        <is>
          <t>4. Pending</t>
        </is>
      </c>
      <c r="L120" t="inlineStr">
        <is>
          <t>Loc:  | verify: unclear</t>
        </is>
      </c>
    </row>
    <row r="121">
      <c r="A121">
        <f>ROW()-1</f>
        <v/>
      </c>
      <c r="B121" t="inlineStr">
        <is>
          <t>2026-05-06</t>
        </is>
      </c>
      <c r="C121" t="inlineStr">
        <is>
          <t>Synthesia</t>
        </is>
      </c>
      <c r="D121" t="inlineStr">
        <is>
          <t>Software Engineer, Front End Leaning (Tech Lead level)</t>
        </is>
      </c>
      <c r="E121" s="13" t="inlineStr">
        <is>
          <t>https://jobs.ashbyhq.com/synthesia/22a00ec6-ac40-4b87-97bc-a0f7bf724be7</t>
        </is>
      </c>
      <c r="F121" t="inlineStr">
        <is>
          <t>career-ops scan</t>
        </is>
      </c>
      <c r="G121" s="1" t="n"/>
      <c r="H121" t="inlineStr">
        <is>
          <t>Tier A</t>
        </is>
      </c>
      <c r="I121" t="n">
        <v>3</v>
      </c>
      <c r="J121" s="1" t="n"/>
      <c r="K121" t="inlineStr">
        <is>
          <t>4. Pending</t>
        </is>
      </c>
      <c r="L121" t="inlineStr">
        <is>
          <t>Loc:  | verify: unclear</t>
        </is>
      </c>
    </row>
    <row r="122">
      <c r="A122">
        <f>ROW()-1</f>
        <v/>
      </c>
      <c r="B122" t="inlineStr">
        <is>
          <t>2026-05-06</t>
        </is>
      </c>
      <c r="C122" t="inlineStr">
        <is>
          <t>Synthesia</t>
        </is>
      </c>
      <c r="D122" t="inlineStr">
        <is>
          <t>Webflow Developer / Front-End Engineer</t>
        </is>
      </c>
      <c r="E122" s="13" t="inlineStr">
        <is>
          <t>https://jobs.ashbyhq.com/synthesia/dcc970b0-9043-4fc6-b628-3b8dad021c84</t>
        </is>
      </c>
      <c r="F122" t="inlineStr">
        <is>
          <t>career-ops scan</t>
        </is>
      </c>
      <c r="G122" s="1" t="n"/>
      <c r="H122" t="inlineStr">
        <is>
          <t>Tier A</t>
        </is>
      </c>
      <c r="I122" t="n">
        <v>3</v>
      </c>
      <c r="J122" s="1" t="n"/>
      <c r="K122" t="inlineStr">
        <is>
          <t>4. Pending</t>
        </is>
      </c>
      <c r="L122" t="inlineStr">
        <is>
          <t>Loc:  | verify: unclear</t>
        </is>
      </c>
    </row>
    <row r="123">
      <c r="A123">
        <f>ROW()-1</f>
        <v/>
      </c>
      <c r="B123" t="inlineStr">
        <is>
          <t>2026-05-06</t>
        </is>
      </c>
      <c r="C123" t="inlineStr">
        <is>
          <t>Zapier</t>
        </is>
      </c>
      <c r="D123" t="inlineStr">
        <is>
          <t>Software Engineer — Release Engineering</t>
        </is>
      </c>
      <c r="E123" s="19" t="inlineStr">
        <is>
          <t>https://jobs.ashbyhq.com/zapier/6948a0e6-a580-4e9d-b109-20652d9a1507</t>
        </is>
      </c>
      <c r="F123" t="inlineStr">
        <is>
          <t>career-ops scan</t>
        </is>
      </c>
      <c r="G123" s="1" t="n"/>
      <c r="H123" t="inlineStr">
        <is>
          <t>Tier A</t>
        </is>
      </c>
      <c r="I123" t="n">
        <v>3</v>
      </c>
      <c r="J123" s="1" t="n"/>
      <c r="K123" t="inlineStr">
        <is>
          <t>1. Apply</t>
        </is>
      </c>
      <c r="L123" t="inlineStr">
        <is>
          <t>Loc:  | verify: unclear</t>
        </is>
      </c>
    </row>
    <row r="124">
      <c r="A124" s="20">
        <f>ROW()-1</f>
        <v/>
      </c>
      <c r="B124" s="20" t="inlineStr">
        <is>
          <t>2026-05-07</t>
        </is>
      </c>
      <c r="C124" s="20" t="inlineStr">
        <is>
          <t>Glean</t>
        </is>
      </c>
      <c r="D124" s="20" t="inlineStr">
        <is>
          <t>Software Engineer, Backend</t>
        </is>
      </c>
      <c r="E124" s="20" t="inlineStr">
        <is>
          <t>https://job-boards.greenhouse.io/gleanwork/jobs/4581643005</t>
        </is>
      </c>
      <c r="F124" s="20" t="inlineStr">
        <is>
          <t>career-ops scan</t>
        </is>
      </c>
      <c r="G124" s="20" t="inlineStr">
        <is>
          <t>Visa sponsorship needed</t>
        </is>
      </c>
      <c r="H124" s="20" t="inlineStr">
        <is>
          <t>Loc: San Francisco Bay Area</t>
        </is>
      </c>
      <c r="I124" s="20" t="n"/>
      <c r="J124" s="20" t="n"/>
      <c r="K124" s="20" t="inlineStr">
        <is>
          <t>4. Pending</t>
        </is>
      </c>
      <c r="L124" s="20" t="n"/>
    </row>
    <row r="125">
      <c r="A125" s="20">
        <f>ROW()-1</f>
        <v/>
      </c>
      <c r="B125" s="20" t="inlineStr">
        <is>
          <t>2026-05-07</t>
        </is>
      </c>
      <c r="C125" s="20" t="inlineStr">
        <is>
          <t>Intercom</t>
        </is>
      </c>
      <c r="D125" s="20" t="inlineStr">
        <is>
          <t>Senior Full Stack Engineer - Team Web</t>
        </is>
      </c>
      <c r="E125" s="20" t="inlineStr">
        <is>
          <t>https://job-boards.greenhouse.io/intercom/jobs/7276257</t>
        </is>
      </c>
      <c r="F125" s="20" t="inlineStr">
        <is>
          <t>career-ops scan</t>
        </is>
      </c>
      <c r="G125" s="20" t="inlineStr">
        <is>
          <t>Visa sponsorship needed</t>
        </is>
      </c>
      <c r="H125" s="20" t="inlineStr">
        <is>
          <t>Loc: London, England</t>
        </is>
      </c>
      <c r="I125" s="20" t="n"/>
      <c r="J125" s="20" t="n"/>
      <c r="K125" s="20" t="inlineStr">
        <is>
          <t>4. Pending</t>
        </is>
      </c>
      <c r="L125" s="20" t="n"/>
    </row>
    <row r="126">
      <c r="A126" s="20">
        <f>ROW()-1</f>
        <v/>
      </c>
      <c r="B126" s="20" t="inlineStr">
        <is>
          <t>2026-05-07</t>
        </is>
      </c>
      <c r="C126" s="20" t="inlineStr">
        <is>
          <t>Contentful</t>
        </is>
      </c>
      <c r="D126" s="20" t="inlineStr">
        <is>
          <t>Fullstack Software Engineer (f/m/d)</t>
        </is>
      </c>
      <c r="E126" s="20" t="inlineStr">
        <is>
          <t>https://job-boards.greenhouse.io/contentful/jobs/7553930</t>
        </is>
      </c>
      <c r="F126" s="20" t="inlineStr">
        <is>
          <t>career-ops scan</t>
        </is>
      </c>
      <c r="G126" s="20" t="inlineStr">
        <is>
          <t>Visa sponsorship needed</t>
        </is>
      </c>
      <c r="H126" s="20" t="inlineStr">
        <is>
          <t>Loc: London, England</t>
        </is>
      </c>
      <c r="I126" s="20" t="n"/>
      <c r="J126" s="20" t="n"/>
      <c r="K126" s="20" t="inlineStr">
        <is>
          <t>4. Pending</t>
        </is>
      </c>
      <c r="L126" s="20" t="n"/>
    </row>
    <row r="127">
      <c r="A127" s="20">
        <f>ROW()-1</f>
        <v/>
      </c>
      <c r="B127" s="20" t="inlineStr">
        <is>
          <t>2026-05-07</t>
        </is>
      </c>
      <c r="C127" s="20" t="inlineStr">
        <is>
          <t>Contentful</t>
        </is>
      </c>
      <c r="D127" s="20" t="inlineStr">
        <is>
          <t>Senior Backend Engineer - AI Platform (f/m/d)</t>
        </is>
      </c>
      <c r="E127" s="20" t="inlineStr">
        <is>
          <t>https://job-boards.greenhouse.io/contentful/jobs/7776562</t>
        </is>
      </c>
      <c r="F127" s="20" t="inlineStr">
        <is>
          <t>career-ops scan</t>
        </is>
      </c>
      <c r="G127" s="20" t="inlineStr">
        <is>
          <t>Visa sponsorship needed</t>
        </is>
      </c>
      <c r="H127" s="20" t="inlineStr">
        <is>
          <t>Loc: London, England</t>
        </is>
      </c>
      <c r="I127" s="20" t="n"/>
      <c r="J127" s="20" t="n"/>
      <c r="K127" s="20" t="inlineStr">
        <is>
          <t>4. Pending</t>
        </is>
      </c>
      <c r="L127" s="20" t="n"/>
    </row>
    <row r="128">
      <c r="A128" s="20">
        <f>ROW()-1</f>
        <v/>
      </c>
      <c r="B128" s="20" t="inlineStr">
        <is>
          <t>2026-05-07</t>
        </is>
      </c>
      <c r="C128" s="20" t="inlineStr">
        <is>
          <t>Contentful</t>
        </is>
      </c>
      <c r="D128" s="20" t="inlineStr">
        <is>
          <t>Senior Software Engineer - Backend &amp; Infrastructure (f/m/d)</t>
        </is>
      </c>
      <c r="E128" s="20" t="inlineStr">
        <is>
          <t>https://job-boards.greenhouse.io/contentful/jobs/7760966</t>
        </is>
      </c>
      <c r="F128" s="20" t="inlineStr">
        <is>
          <t>career-ops scan</t>
        </is>
      </c>
      <c r="G128" s="20" t="inlineStr">
        <is>
          <t>Visa sponsorship needed</t>
        </is>
      </c>
      <c r="H128" s="20" t="inlineStr">
        <is>
          <t>Loc: Berlin, Germany</t>
        </is>
      </c>
      <c r="I128" s="20" t="n"/>
      <c r="J128" s="20" t="n"/>
      <c r="K128" s="20" t="inlineStr">
        <is>
          <t>4. Pending</t>
        </is>
      </c>
      <c r="L128" s="20" t="n"/>
    </row>
    <row r="129">
      <c r="A129" s="20">
        <f>ROW()-1</f>
        <v/>
      </c>
      <c r="B129" s="20" t="inlineStr">
        <is>
          <t>2026-05-07</t>
        </is>
      </c>
      <c r="C129" s="20" t="inlineStr">
        <is>
          <t>N26</t>
        </is>
      </c>
      <c r="D129" s="20" t="inlineStr">
        <is>
          <t>Backend Engineer - Acquire</t>
        </is>
      </c>
      <c r="E129" s="20" t="inlineStr">
        <is>
          <t>https://n26.com/en-eu/careers/positions/7742395?gh_jid=7742395</t>
        </is>
      </c>
      <c r="F129" s="20" t="inlineStr">
        <is>
          <t>career-ops scan</t>
        </is>
      </c>
      <c r="G129" s="20" t="inlineStr">
        <is>
          <t>Visa sponsorship needed</t>
        </is>
      </c>
      <c r="H129" s="20" t="inlineStr">
        <is>
          <t>Loc: Berlin</t>
        </is>
      </c>
      <c r="I129" s="20" t="n"/>
      <c r="J129" s="20" t="n"/>
      <c r="K129" s="20" t="inlineStr">
        <is>
          <t>4. Pending</t>
        </is>
      </c>
      <c r="L129" s="20" t="n"/>
    </row>
    <row r="130">
      <c r="A130" s="20">
        <f>ROW()-1</f>
        <v/>
      </c>
      <c r="B130" s="20" t="inlineStr">
        <is>
          <t>2026-05-07</t>
        </is>
      </c>
      <c r="C130" s="20" t="inlineStr">
        <is>
          <t>N26</t>
        </is>
      </c>
      <c r="D130" s="20" t="inlineStr">
        <is>
          <t>Backend Engineer - Engagement</t>
        </is>
      </c>
      <c r="E130" s="20" t="inlineStr">
        <is>
          <t>https://n26.com/en-eu/careers/positions/7640893?gh_jid=7640893</t>
        </is>
      </c>
      <c r="F130" s="20" t="inlineStr">
        <is>
          <t>career-ops scan</t>
        </is>
      </c>
      <c r="G130" s="20" t="inlineStr">
        <is>
          <t>Visa sponsorship needed</t>
        </is>
      </c>
      <c r="H130" s="20" t="inlineStr">
        <is>
          <t>Loc: Berlin / Barcelona</t>
        </is>
      </c>
      <c r="I130" s="20" t="n"/>
      <c r="J130" s="20" t="n"/>
      <c r="K130" s="20" t="inlineStr">
        <is>
          <t>4. Pending</t>
        </is>
      </c>
      <c r="L130" s="20" t="n"/>
    </row>
    <row r="131">
      <c r="A131" s="20">
        <f>ROW()-1</f>
        <v/>
      </c>
      <c r="B131" s="20" t="inlineStr">
        <is>
          <t>2026-05-07</t>
        </is>
      </c>
      <c r="C131" s="20" t="inlineStr">
        <is>
          <t>N26</t>
        </is>
      </c>
      <c r="D131" s="20" t="inlineStr">
        <is>
          <t>Senior Full-Stack Security Automation Engineer</t>
        </is>
      </c>
      <c r="E131" s="20" t="inlineStr">
        <is>
          <t>https://n26.com/en-eu/careers/positions/7597686?gh_jid=7597686</t>
        </is>
      </c>
      <c r="F131" s="20" t="inlineStr">
        <is>
          <t>career-ops scan</t>
        </is>
      </c>
      <c r="G131" s="20" t="inlineStr">
        <is>
          <t>Visa sponsorship needed</t>
        </is>
      </c>
      <c r="H131" s="20" t="inlineStr">
        <is>
          <t>Loc: Barcelona</t>
        </is>
      </c>
      <c r="I131" s="20" t="n"/>
      <c r="J131" s="20" t="n"/>
      <c r="K131" s="20" t="inlineStr">
        <is>
          <t>4. Pending</t>
        </is>
      </c>
      <c r="L131" s="20" t="n"/>
    </row>
    <row r="132">
      <c r="A132" s="20">
        <f>ROW()-1</f>
        <v/>
      </c>
      <c r="B132" s="20" t="inlineStr">
        <is>
          <t>2026-05-07</t>
        </is>
      </c>
      <c r="C132" s="20" t="inlineStr">
        <is>
          <t>Legora</t>
        </is>
      </c>
      <c r="D132" s="20" t="inlineStr">
        <is>
          <t>Senior Backend Engineer</t>
        </is>
      </c>
      <c r="E132" s="20" t="inlineStr">
        <is>
          <t>https://jobs.ashbyhq.com/legora/b0dcbd44-38c5-46fc-aa9a-610fe881fc1c</t>
        </is>
      </c>
      <c r="F132" s="20" t="inlineStr">
        <is>
          <t>career-ops scan</t>
        </is>
      </c>
      <c r="G132" s="20" t="inlineStr">
        <is>
          <t>Visa sponsorship needed</t>
        </is>
      </c>
      <c r="H132" s="20" t="inlineStr">
        <is>
          <t>Loc: Malmö</t>
        </is>
      </c>
      <c r="I132" s="20" t="n"/>
      <c r="J132" s="20" t="n"/>
      <c r="K132" s="20" t="inlineStr">
        <is>
          <t>4. Pending</t>
        </is>
      </c>
      <c r="L132" s="20" t="n"/>
    </row>
    <row r="133">
      <c r="A133" s="20">
        <f>ROW()-1</f>
        <v/>
      </c>
      <c r="B133" s="20" t="inlineStr">
        <is>
          <t>2026-05-07</t>
        </is>
      </c>
      <c r="C133" s="20" t="inlineStr">
        <is>
          <t>Legora</t>
        </is>
      </c>
      <c r="D133" s="20" t="inlineStr">
        <is>
          <t>Senior Software Engineer</t>
        </is>
      </c>
      <c r="E133" s="20" t="inlineStr">
        <is>
          <t>https://jobs.ashbyhq.com/legora/2ec4729a-82e2-4e7b-90d9-c9afb8e941bb</t>
        </is>
      </c>
      <c r="F133" s="20" t="inlineStr">
        <is>
          <t>career-ops scan</t>
        </is>
      </c>
      <c r="G133" s="20" t="inlineStr">
        <is>
          <t>Visa sponsorship needed</t>
        </is>
      </c>
      <c r="H133" s="20" t="inlineStr">
        <is>
          <t>Loc: Stockholm HQ</t>
        </is>
      </c>
      <c r="I133" s="20" t="n"/>
      <c r="J133" s="20" t="n"/>
      <c r="K133" s="20" t="inlineStr">
        <is>
          <t>4. Pending</t>
        </is>
      </c>
      <c r="L133" s="20" t="n"/>
    </row>
    <row r="134">
      <c r="A134" s="20">
        <f>ROW()-1</f>
        <v/>
      </c>
      <c r="B134" s="20" t="inlineStr">
        <is>
          <t>2026-05-07</t>
        </is>
      </c>
      <c r="C134" s="20" t="inlineStr">
        <is>
          <t>Pigment</t>
        </is>
      </c>
      <c r="D134" s="20" t="inlineStr">
        <is>
          <t>Senior Backend Software Engineer</t>
        </is>
      </c>
      <c r="E134" s="20" t="inlineStr">
        <is>
          <t>https://jobs.lever.co/pigment/bf7cacad-0f52-4db4-88d4-ad7b22bd852e</t>
        </is>
      </c>
      <c r="F134" s="20" t="inlineStr">
        <is>
          <t>career-ops scan</t>
        </is>
      </c>
      <c r="G134" s="20" t="inlineStr">
        <is>
          <t>Visa sponsorship needed</t>
        </is>
      </c>
      <c r="H134" s="20" t="inlineStr">
        <is>
          <t>Loc: France</t>
        </is>
      </c>
      <c r="I134" s="20" t="n"/>
      <c r="J134" s="20" t="n"/>
      <c r="K134" s="20" t="inlineStr">
        <is>
          <t>4. Pending</t>
        </is>
      </c>
      <c r="L134" s="20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</row>
    <row r="147">
      <c r="A147" s="1" t="n"/>
      <c r="B147" s="1" t="n"/>
      <c r="C147" s="1" t="n"/>
      <c r="D147" s="1" t="n"/>
      <c r="E147" t="inlineStr">
        <is>
          <t>https://sumup.com/careers/positions/8468000002?gh_jid=8468000002</t>
        </is>
      </c>
      <c r="F147" s="1" t="n"/>
      <c r="G147" s="1" t="n"/>
      <c r="H147" s="1" t="n"/>
      <c r="I147" s="1" t="n"/>
      <c r="J147" s="1" t="n"/>
      <c r="K147" s="1" t="n"/>
    </row>
    <row r="148">
      <c r="A148" s="1" t="n"/>
      <c r="B148" s="1" t="n"/>
      <c r="C148" s="1" t="n"/>
      <c r="D148" s="1" t="n"/>
      <c r="E148" t="inlineStr">
        <is>
          <t>https://sumup.com/careers/positions/8448678002?gh_jid=8448678002</t>
        </is>
      </c>
      <c r="F148" s="1" t="n"/>
      <c r="G148" s="1" t="n"/>
      <c r="H148" s="1" t="n"/>
      <c r="I148" s="1" t="n"/>
      <c r="J148" s="1" t="n"/>
      <c r="K148" s="1" t="n"/>
    </row>
    <row r="149">
      <c r="A149" s="1" t="n"/>
      <c r="B149" s="1" t="n"/>
      <c r="C149" s="1" t="n"/>
      <c r="D149" s="1" t="n"/>
      <c r="E149" t="inlineStr">
        <is>
          <t>https://sumup.com/careers/positions/8520790002?gh_jid=8520790002</t>
        </is>
      </c>
      <c r="F149" s="1" t="n"/>
      <c r="G149" s="1" t="n"/>
      <c r="H149" s="1" t="n"/>
      <c r="I149" s="1" t="n"/>
      <c r="J149" s="1" t="n"/>
      <c r="K149" s="1" t="n"/>
    </row>
    <row r="150">
      <c r="A150" s="1" t="n"/>
      <c r="B150" s="1" t="n"/>
      <c r="C150" s="1" t="n"/>
      <c r="D150" s="1" t="n"/>
      <c r="E150" t="inlineStr">
        <is>
          <t>https://sumup.com/careers/positions/8468005002?gh_jid=8468005002</t>
        </is>
      </c>
      <c r="F150" s="1" t="n"/>
      <c r="G150" s="1" t="n"/>
      <c r="H150" s="1" t="n"/>
      <c r="I150" s="1" t="n"/>
      <c r="J150" s="1" t="n"/>
      <c r="K150" s="1" t="n"/>
    </row>
    <row r="151">
      <c r="A151" s="1" t="n"/>
      <c r="B151" s="1" t="n"/>
      <c r="C151" s="1" t="n"/>
      <c r="D151" s="1" t="n"/>
      <c r="E151" t="inlineStr">
        <is>
          <t>https://sumup.com/careers/positions/8420811002?gh_jid=8420811002</t>
        </is>
      </c>
      <c r="F151" s="1" t="n"/>
      <c r="G151" s="1" t="n"/>
      <c r="H151" s="1" t="n"/>
      <c r="I151" s="1" t="n"/>
      <c r="J151" s="1" t="n"/>
      <c r="K151" s="1" t="n"/>
    </row>
    <row r="152">
      <c r="A152" s="1" t="n"/>
      <c r="B152" s="1" t="n"/>
      <c r="C152" s="1" t="n"/>
      <c r="D152" s="1" t="n"/>
      <c r="E152" t="inlineStr">
        <is>
          <t>https://sumup.com/careers/positions/8520406002?gh_jid=8520406002</t>
        </is>
      </c>
      <c r="F152" s="1" t="n"/>
      <c r="G152" s="1" t="n"/>
      <c r="H152" s="1" t="n"/>
      <c r="I152" s="1" t="n"/>
      <c r="J152" s="1" t="n"/>
      <c r="K152" s="1" t="n"/>
    </row>
    <row r="153">
      <c r="A153" s="1" t="n"/>
      <c r="B153" s="1" t="n"/>
      <c r="C153" s="1" t="n"/>
      <c r="D153" s="1" t="n"/>
      <c r="E153" t="inlineStr">
        <is>
          <t>https://sumup.com/careers/positions/8468006002?gh_jid=8468006002</t>
        </is>
      </c>
      <c r="F153" s="1" t="n"/>
      <c r="G153" s="1" t="n"/>
      <c r="H153" s="1" t="n"/>
      <c r="I153" s="1" t="n"/>
      <c r="J153" s="1" t="n"/>
      <c r="K153" s="1" t="n"/>
    </row>
    <row r="154">
      <c r="A154" s="1" t="n"/>
      <c r="B154" s="1" t="n"/>
      <c r="C154" s="1" t="n"/>
      <c r="D154" s="1" t="n"/>
      <c r="E154" t="inlineStr">
        <is>
          <t>https://sumup.com/careers/positions/7480776002?gh_jid=7480776002</t>
        </is>
      </c>
      <c r="F154" s="1" t="n"/>
      <c r="G154" s="1" t="n"/>
      <c r="H154" s="1" t="n"/>
      <c r="I154" s="1" t="n"/>
      <c r="J154" s="1" t="n"/>
      <c r="K154" s="1" t="n"/>
    </row>
    <row r="155">
      <c r="A155" s="25">
        <f>ROW()-1</f>
        <v/>
      </c>
      <c r="B155" s="25" t="inlineStr">
        <is>
          <t>2026-05-07</t>
        </is>
      </c>
      <c r="C155" s="25" t="inlineStr">
        <is>
          <t>Shippio</t>
        </is>
      </c>
      <c r="D155" s="25" t="inlineStr">
        <is>
          <t>Senior Full-Stack Engineer</t>
        </is>
      </c>
      <c r="E155" s="25" t="inlineStr">
        <is>
          <t>https://www.gittap.jp/jobs/1720</t>
        </is>
      </c>
      <c r="F155" s="25" t="inlineStr">
        <is>
          <t>career-ops scan / gittap.jp</t>
        </is>
      </c>
      <c r="G155" s="25" t="inlineStr">
        <is>
          <t>Visa sponsorship needed</t>
        </is>
      </c>
      <c r="H155" s="25" t="inlineStr">
        <is>
          <t>Vue/React/JS, 7.5M+ JPY, Japan relocation</t>
        </is>
      </c>
      <c r="I155" s="25" t="n"/>
      <c r="J155" s="25" t="n"/>
      <c r="K155" s="25" t="inlineStr">
        <is>
          <t>2. Recommended</t>
        </is>
      </c>
      <c r="L155" s="25" t="inlineStr">
        <is>
          <t>(via GitTap)</t>
        </is>
      </c>
    </row>
    <row r="156">
      <c r="A156" s="25">
        <f>ROW()-1</f>
        <v/>
      </c>
      <c r="B156" s="25" t="inlineStr">
        <is>
          <t>2026-05-07</t>
        </is>
      </c>
      <c r="C156" s="25" t="inlineStr">
        <is>
          <t>ReNK CHANNEL</t>
        </is>
      </c>
      <c r="D156" s="25" t="inlineStr">
        <is>
          <t>Front End Engineer (Visa Support)</t>
        </is>
      </c>
      <c r="E156" s="25" t="inlineStr">
        <is>
          <t>https://www.gittap.jp/jobs/5214</t>
        </is>
      </c>
      <c r="F156" s="25" t="inlineStr">
        <is>
          <t>career-ops scan / gittap.jp</t>
        </is>
      </c>
      <c r="G156" s="25" t="inlineStr">
        <is>
          <t>Visa sponsorship needed</t>
        </is>
      </c>
      <c r="H156" s="25" t="inlineStr">
        <is>
          <t>In-house dev, listed-company subsidiary, visa support stated</t>
        </is>
      </c>
      <c r="I156" s="25" t="n"/>
      <c r="J156" s="25" t="n"/>
      <c r="K156" s="25" t="inlineStr">
        <is>
          <t>4. Pending</t>
        </is>
      </c>
      <c r="L156" s="25" t="inlineStr">
        <is>
          <t>(via GitTap)</t>
        </is>
      </c>
    </row>
    <row r="157">
      <c r="A157" s="25">
        <f>ROW()-1</f>
        <v/>
      </c>
      <c r="B157" s="25" t="inlineStr">
        <is>
          <t>2026-05-07</t>
        </is>
      </c>
      <c r="C157" s="25" t="inlineStr">
        <is>
          <t>stakefish</t>
        </is>
      </c>
      <c r="D157" s="25" t="inlineStr">
        <is>
          <t>Web3 / Full-stack Software Engineer</t>
        </is>
      </c>
      <c r="E157" s="25" t="inlineStr">
        <is>
          <t>https://www.linkedin.com/jobs/view/4354681451/</t>
        </is>
      </c>
      <c r="F157" s="25" t="inlineStr">
        <is>
          <t>user-submitted (LinkedIn)</t>
        </is>
      </c>
      <c r="G157" s="25" t="inlineStr">
        <is>
          <t>Remote — worldwide (Singapore HQ, GMT+8)</t>
        </is>
      </c>
      <c r="H157" s="25" t="inlineStr">
        <is>
          <t>React+TS+Python+web3.js, mid-senior IC, distributed culture, $140-180K</t>
        </is>
      </c>
      <c r="I157" s="25" t="n">
        <v>5</v>
      </c>
      <c r="J157" s="25" t="n"/>
      <c r="K157" s="25" t="inlineStr">
        <is>
          <t>2. Recommended</t>
        </is>
      </c>
      <c r="L157" s="25" t="inlineStr">
        <is>
          <t>User-flagged as ideal fit shape (2026-05-07)</t>
        </is>
      </c>
    </row>
  </sheetData>
  <conditionalFormatting sqref="J2:J1000">
    <cfRule type="cellIs" priority="1" operator="equal" dxfId="0">
      <formula>"Pending"</formula>
    </cfRule>
    <cfRule type="cellIs" priority="2" operator="equal" dxfId="1">
      <formula>"Apply"</formula>
    </cfRule>
    <cfRule type="cellIs" priority="3" operator="equal" dxfId="2">
      <formula>"Skip"</formula>
    </cfRule>
    <cfRule type="cellIs" priority="4" operator="equal" dxfId="3">
      <formula>"Saved"</formula>
    </cfRule>
  </conditionalFormatting>
  <conditionalFormatting sqref="H2:H1000">
    <cfRule type="cellIs" priority="5" operator="equal" dxfId="2">
      <formula>1</formula>
    </cfRule>
    <cfRule type="cellIs" priority="6" operator="equal" dxfId="5">
      <formula>2</formula>
    </cfRule>
    <cfRule type="cellIs" priority="7" operator="equal" dxfId="6">
      <formula>3</formula>
    </cfRule>
    <cfRule type="cellIs" priority="8" operator="equal" dxfId="7">
      <formula>4</formula>
    </cfRule>
    <cfRule type="cellIs" priority="9" operator="equal" dxfId="1">
      <formula>5</formula>
    </cfRule>
  </conditionalFormatting>
  <dataValidations count="2">
    <dataValidation sqref="I2:I1000" showDropDown="0" showInputMessage="0" showErrorMessage="0" allowBlank="1" type="list">
      <formula1>"1,2,3,4,5"</formula1>
    </dataValidation>
    <dataValidation sqref="K2:K1000" showDropDown="0" showInputMessage="0" showErrorMessage="0" allowBlank="1" type="list">
      <formula1>"1. Apply,2. Recommended,3. Saved,4. Pending,5. Skip"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10" r:id="rId5"/>
    <hyperlink xmlns:r="http://schemas.openxmlformats.org/officeDocument/2006/relationships" ref="E11" r:id="rId6"/>
    <hyperlink xmlns:r="http://schemas.openxmlformats.org/officeDocument/2006/relationships" ref="E13" r:id="rId7"/>
    <hyperlink xmlns:r="http://schemas.openxmlformats.org/officeDocument/2006/relationships" ref="E48" r:id="rId8"/>
    <hyperlink xmlns:r="http://schemas.openxmlformats.org/officeDocument/2006/relationships" ref="E49" r:id="rId9"/>
    <hyperlink xmlns:r="http://schemas.openxmlformats.org/officeDocument/2006/relationships" ref="E50" r:id="rId10"/>
    <hyperlink xmlns:r="http://schemas.openxmlformats.org/officeDocument/2006/relationships" ref="E51" r:id="rId11"/>
    <hyperlink xmlns:r="http://schemas.openxmlformats.org/officeDocument/2006/relationships" ref="E52" r:id="rId12"/>
    <hyperlink xmlns:r="http://schemas.openxmlformats.org/officeDocument/2006/relationships" ref="E53" r:id="rId13"/>
    <hyperlink xmlns:r="http://schemas.openxmlformats.org/officeDocument/2006/relationships" ref="E54" r:id="rId14"/>
    <hyperlink xmlns:r="http://schemas.openxmlformats.org/officeDocument/2006/relationships" ref="E55" r:id="rId15"/>
    <hyperlink xmlns:r="http://schemas.openxmlformats.org/officeDocument/2006/relationships" ref="E56" r:id="rId16"/>
    <hyperlink xmlns:r="http://schemas.openxmlformats.org/officeDocument/2006/relationships" ref="E57" r:id="rId17"/>
    <hyperlink xmlns:r="http://schemas.openxmlformats.org/officeDocument/2006/relationships" ref="E78" r:id="rId18"/>
    <hyperlink xmlns:r="http://schemas.openxmlformats.org/officeDocument/2006/relationships" ref="E79" r:id="rId19"/>
    <hyperlink xmlns:r="http://schemas.openxmlformats.org/officeDocument/2006/relationships" ref="E80" r:id="rId20"/>
    <hyperlink xmlns:r="http://schemas.openxmlformats.org/officeDocument/2006/relationships" ref="E81" r:id="rId21"/>
    <hyperlink xmlns:r="http://schemas.openxmlformats.org/officeDocument/2006/relationships" ref="E82" r:id="rId22"/>
    <hyperlink xmlns:r="http://schemas.openxmlformats.org/officeDocument/2006/relationships" ref="E83" r:id="rId23"/>
    <hyperlink xmlns:r="http://schemas.openxmlformats.org/officeDocument/2006/relationships" ref="E84" r:id="rId24"/>
    <hyperlink xmlns:r="http://schemas.openxmlformats.org/officeDocument/2006/relationships" ref="E85" r:id="rId25"/>
    <hyperlink xmlns:r="http://schemas.openxmlformats.org/officeDocument/2006/relationships" ref="E86" r:id="rId26"/>
    <hyperlink xmlns:r="http://schemas.openxmlformats.org/officeDocument/2006/relationships" ref="E87" r:id="rId27"/>
    <hyperlink xmlns:r="http://schemas.openxmlformats.org/officeDocument/2006/relationships" ref="E88" r:id="rId28"/>
    <hyperlink xmlns:r="http://schemas.openxmlformats.org/officeDocument/2006/relationships" ref="E89" r:id="rId29"/>
    <hyperlink xmlns:r="http://schemas.openxmlformats.org/officeDocument/2006/relationships" ref="E90" r:id="rId30"/>
    <hyperlink xmlns:r="http://schemas.openxmlformats.org/officeDocument/2006/relationships" ref="E91" r:id="rId31"/>
    <hyperlink xmlns:r="http://schemas.openxmlformats.org/officeDocument/2006/relationships" ref="E92" r:id="rId32"/>
    <hyperlink xmlns:r="http://schemas.openxmlformats.org/officeDocument/2006/relationships" ref="E93" r:id="rId33"/>
    <hyperlink xmlns:r="http://schemas.openxmlformats.org/officeDocument/2006/relationships" ref="E94" r:id="rId34"/>
    <hyperlink xmlns:r="http://schemas.openxmlformats.org/officeDocument/2006/relationships" ref="E95" r:id="rId35"/>
    <hyperlink xmlns:r="http://schemas.openxmlformats.org/officeDocument/2006/relationships" ref="E96" r:id="rId36"/>
    <hyperlink xmlns:r="http://schemas.openxmlformats.org/officeDocument/2006/relationships" ref="E97" r:id="rId37"/>
    <hyperlink xmlns:r="http://schemas.openxmlformats.org/officeDocument/2006/relationships" ref="E98" r:id="rId38"/>
    <hyperlink xmlns:r="http://schemas.openxmlformats.org/officeDocument/2006/relationships" ref="E99" r:id="rId39"/>
    <hyperlink xmlns:r="http://schemas.openxmlformats.org/officeDocument/2006/relationships" ref="E100" r:id="rId40"/>
    <hyperlink xmlns:r="http://schemas.openxmlformats.org/officeDocument/2006/relationships" ref="E101" r:id="rId41"/>
    <hyperlink xmlns:r="http://schemas.openxmlformats.org/officeDocument/2006/relationships" ref="E102" r:id="rId42"/>
    <hyperlink xmlns:r="http://schemas.openxmlformats.org/officeDocument/2006/relationships" ref="E103" r:id="rId43"/>
    <hyperlink xmlns:r="http://schemas.openxmlformats.org/officeDocument/2006/relationships" ref="E104" r:id="rId44"/>
    <hyperlink xmlns:r="http://schemas.openxmlformats.org/officeDocument/2006/relationships" ref="E105" r:id="rId45"/>
    <hyperlink xmlns:r="http://schemas.openxmlformats.org/officeDocument/2006/relationships" ref="E106" r:id="rId46"/>
    <hyperlink xmlns:r="http://schemas.openxmlformats.org/officeDocument/2006/relationships" ref="E107" r:id="rId47"/>
    <hyperlink xmlns:r="http://schemas.openxmlformats.org/officeDocument/2006/relationships" ref="E108" r:id="rId48"/>
    <hyperlink xmlns:r="http://schemas.openxmlformats.org/officeDocument/2006/relationships" ref="E109" r:id="rId49"/>
    <hyperlink xmlns:r="http://schemas.openxmlformats.org/officeDocument/2006/relationships" ref="E110" r:id="rId50"/>
    <hyperlink xmlns:r="http://schemas.openxmlformats.org/officeDocument/2006/relationships" ref="E111" r:id="rId51"/>
    <hyperlink xmlns:r="http://schemas.openxmlformats.org/officeDocument/2006/relationships" ref="E112" r:id="rId52"/>
    <hyperlink xmlns:r="http://schemas.openxmlformats.org/officeDocument/2006/relationships" ref="E113" r:id="rId53"/>
    <hyperlink xmlns:r="http://schemas.openxmlformats.org/officeDocument/2006/relationships" ref="E114" r:id="rId54"/>
    <hyperlink xmlns:r="http://schemas.openxmlformats.org/officeDocument/2006/relationships" ref="E115" r:id="rId55"/>
    <hyperlink xmlns:r="http://schemas.openxmlformats.org/officeDocument/2006/relationships" ref="E116" r:id="rId56"/>
    <hyperlink xmlns:r="http://schemas.openxmlformats.org/officeDocument/2006/relationships" ref="E117" r:id="rId57"/>
    <hyperlink xmlns:r="http://schemas.openxmlformats.org/officeDocument/2006/relationships" ref="E118" r:id="rId58"/>
    <hyperlink xmlns:r="http://schemas.openxmlformats.org/officeDocument/2006/relationships" ref="E119" r:id="rId59"/>
    <hyperlink xmlns:r="http://schemas.openxmlformats.org/officeDocument/2006/relationships" ref="E120" r:id="rId60"/>
    <hyperlink xmlns:r="http://schemas.openxmlformats.org/officeDocument/2006/relationships" ref="E121" r:id="rId61"/>
    <hyperlink xmlns:r="http://schemas.openxmlformats.org/officeDocument/2006/relationships" ref="E122" r:id="rId62"/>
    <hyperlink xmlns:r="http://schemas.openxmlformats.org/officeDocument/2006/relationships" ref="E123" r:id="rId63"/>
    <hyperlink xmlns:r="http://schemas.openxmlformats.org/officeDocument/2006/relationships" ref="E124" r:id="rId64"/>
    <hyperlink xmlns:r="http://schemas.openxmlformats.org/officeDocument/2006/relationships" ref="E125" r:id="rId65"/>
    <hyperlink xmlns:r="http://schemas.openxmlformats.org/officeDocument/2006/relationships" ref="E126" r:id="rId66"/>
    <hyperlink xmlns:r="http://schemas.openxmlformats.org/officeDocument/2006/relationships" ref="E128" r:id="rId67"/>
    <hyperlink xmlns:r="http://schemas.openxmlformats.org/officeDocument/2006/relationships" ref="E129" r:id="rId68"/>
    <hyperlink xmlns:r="http://schemas.openxmlformats.org/officeDocument/2006/relationships" ref="E130" r:id="rId69"/>
    <hyperlink xmlns:r="http://schemas.openxmlformats.org/officeDocument/2006/relationships" ref="E131" r:id="rId70"/>
    <hyperlink xmlns:r="http://schemas.openxmlformats.org/officeDocument/2006/relationships" ref="E132" r:id="rId71"/>
    <hyperlink xmlns:r="http://schemas.openxmlformats.org/officeDocument/2006/relationships" ref="E133" r:id="rId72"/>
    <hyperlink xmlns:r="http://schemas.openxmlformats.org/officeDocument/2006/relationships" ref="E134" r:id="rId73"/>
    <hyperlink xmlns:r="http://schemas.openxmlformats.org/officeDocument/2006/relationships" ref="E147" r:id="rId7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"/>
  <sheetViews>
    <sheetView zoomScale="100" zoomScaleNormal="100" workbookViewId="0">
      <pane xSplit="2" ySplit="1" topLeftCell="C2" activePane="bottomRight" state="frozen"/>
      <selection pane="bottomRight" activeCell="A1" sqref="A1"/>
    </sheetView>
  </sheetViews>
  <sheetFormatPr baseColWidth="8" defaultRowHeight="15" outlineLevelRow="0"/>
  <cols>
    <col width="5" customWidth="1" style="1" min="1" max="1"/>
    <col width="12" customWidth="1" style="1" min="2" max="2"/>
    <col width="14" customWidth="1" style="1" min="3" max="3"/>
    <col width="38" customWidth="1" style="1" min="4" max="4"/>
    <col width="60" customWidth="1" style="1" min="5" max="5"/>
    <col width="55" customWidth="1" style="1" min="6" max="6"/>
    <col width="18" customWidth="1" style="1" min="7" max="7"/>
    <col width="55" customWidth="1" style="1" min="8" max="11"/>
    <col width="35" customWidth="1" style="1" min="12" max="12"/>
    <col width="25" customWidth="1" style="1" min="13" max="13"/>
    <col width="18" customWidth="1" style="1" min="14" max="14"/>
    <col width="55" customWidth="1" style="1" min="15" max="15"/>
    <col width="14" customWidth="1" style="1" min="16" max="16"/>
    <col width="18" customWidth="1" style="1" min="17" max="18"/>
    <col width="55" customWidth="1" style="1" min="19" max="19"/>
  </cols>
  <sheetData>
    <row r="1" ht="32" customFormat="1" customHeight="1" s="1">
      <c r="A1" s="21" t="inlineStr">
        <is>
          <t>#</t>
        </is>
      </c>
      <c r="B1" s="21" t="inlineStr">
        <is>
          <t>Date</t>
        </is>
      </c>
      <c r="C1" s="21" t="inlineStr">
        <is>
          <t>Company</t>
        </is>
      </c>
      <c r="D1" s="21" t="inlineStr">
        <is>
          <t>Role</t>
        </is>
      </c>
      <c r="E1" s="21" t="inlineStr">
        <is>
          <t>Job URL</t>
        </is>
      </c>
      <c r="F1" s="21" t="inlineStr">
        <is>
          <t>Tailored CV Path</t>
        </is>
      </c>
      <c r="G1" s="21" t="inlineStr">
        <is>
          <t>Tailored CV Status</t>
        </is>
      </c>
      <c r="H1" s="21" t="inlineStr">
        <is>
          <t>Q1: Why this role?</t>
        </is>
      </c>
      <c r="I1" s="21" t="inlineStr">
        <is>
          <t>Q2: Why this company?</t>
        </is>
      </c>
      <c r="J1" s="21" t="inlineStr">
        <is>
          <t>Q3: Relevant experience</t>
        </is>
      </c>
      <c r="K1" s="21" t="inlineStr">
        <is>
          <t>Q4: Why a good fit?</t>
        </is>
      </c>
      <c r="L1" s="21" t="inlineStr">
        <is>
          <t>Q5: How did you hear?</t>
        </is>
      </c>
      <c r="M1" s="21" t="inlineStr">
        <is>
          <t>Other custom Qs</t>
        </is>
      </c>
      <c r="N1" s="21" t="inlineStr">
        <is>
          <t>Video required?</t>
        </is>
      </c>
      <c r="O1" s="21" t="inlineStr">
        <is>
          <t>Video script notes</t>
        </is>
      </c>
      <c r="P1" s="21" t="inlineStr">
        <is>
          <t>Video status</t>
        </is>
      </c>
      <c r="Q1" s="21" t="inlineStr">
        <is>
          <t>AI disclaimer?</t>
        </is>
      </c>
      <c r="R1" s="21" t="inlineStr">
        <is>
          <t>Submission status</t>
        </is>
      </c>
      <c r="S1" s="21" t="inlineStr">
        <is>
          <t>Notes</t>
        </is>
      </c>
    </row>
    <row r="2">
      <c r="A2" s="22">
        <f>ROW()-1</f>
        <v/>
      </c>
      <c r="B2" s="22" t="inlineStr">
        <is>
          <t>2026-05-06</t>
        </is>
      </c>
      <c r="C2" s="22" t="inlineStr">
        <is>
          <t>Tether</t>
        </is>
      </c>
      <c r="D2" s="22" t="inlineStr">
        <is>
          <t>Backend Engineer (Wallets) — 100% Remote</t>
        </is>
      </c>
      <c r="E2" s="22" t="inlineStr">
        <is>
          <t>https://careers.tether.io/o/backend-engineer-wallets-100-remote-29</t>
        </is>
      </c>
      <c r="F2" s="22" t="inlineStr">
        <is>
          <t>career-ops/output/cv-hana-aliyah-mufidah-tether-2026-05-06.pdf</t>
        </is>
      </c>
      <c r="G2" s="22" t="inlineStr">
        <is>
          <t>Done (4.5/5 evaluated)</t>
        </is>
      </c>
      <c r="H2" s="22" t="inlineStr">
        <is>
          <t>Wallet platform is exactly where I have been working — at Nespay I built backend + admin for a B2B crypto-to-fiat product (Xellar, Privy, MySQL, MongoDB). Tether operates the same problem at the scale I want to learn next.</t>
        </is>
      </c>
      <c r="I2" s="22" t="inlineStr">
        <is>
          <t>USDT is infrastructure I have worked around since I started in Web3. The chance to work on the wallet layer (not on top of it) is rare and matches my current Nespay work directly.</t>
        </is>
      </c>
      <c r="J2" s="22" t="inlineStr">
        <is>
          <t>Lead architecture, AWS, and backend on Nespay's B2B crypto-to-fiat platform — wallet transactions, invoice management, KYC. 5 years prior at ION on a complex work-management platform. 3rd place EDU Chain Hackathon DeFi Track (May 2025).</t>
        </is>
      </c>
      <c r="K2" s="22" t="inlineStr">
        <is>
          <t>I sit at the intersection of Node.js backend craft and Web3 wallet integration — the two stacks the JD names. Both shipped in production within the last 12 months.</t>
        </is>
      </c>
      <c r="L2" s="22" t="inlineStr">
        <is>
          <t>Through my own job-search workflow. Tether ranked highest against my criteria.</t>
        </is>
      </c>
      <c r="M2" s="22" t="inlineStr">
        <is>
          <t>—</t>
        </is>
      </c>
      <c r="N2" s="22" t="inlineStr">
        <is>
          <t>YES (per Tether application)</t>
        </is>
      </c>
      <c r="O2" s="22" t="inlineStr">
        <is>
          <t>60–90s; open with 1 specific Tether product I have used; one sentence on why wallet backend specifically; one Nespay proof point (Node.js + MySQL + Xellar); close with 1 question for the team. Bullets only — no script reading.</t>
        </is>
      </c>
      <c r="P2" s="22" t="inlineStr">
        <is>
          <t>Not recorded</t>
        </is>
      </c>
      <c r="Q2" s="22" t="inlineStr">
        <is>
          <t>YES — rewrite all drafts in own voice before pasting</t>
        </is>
      </c>
      <c r="R2" s="22" t="inlineStr">
        <is>
          <t>Not submitted</t>
        </is>
      </c>
      <c r="S2" s="22" t="inlineStr">
        <is>
          <t>Score 4.5/5 — see career-ops/reports/001-tether-2026-05-06.md</t>
        </is>
      </c>
    </row>
    <row r="3">
      <c r="A3" s="22">
        <f>ROW()-1</f>
        <v/>
      </c>
      <c r="B3" s="22" t="inlineStr">
        <is>
          <t>2026-05-06</t>
        </is>
      </c>
      <c r="C3" s="22" t="inlineStr">
        <is>
          <t>Tether</t>
        </is>
      </c>
      <c r="D3" s="22" t="inlineStr">
        <is>
          <t>Senior Frontend Developer — KYC, Worldwide</t>
        </is>
      </c>
      <c r="E3" s="22" t="inlineStr">
        <is>
          <t>https://careers.tether.io/o/senior-frontend-developer-kyc-worldwide</t>
        </is>
      </c>
      <c r="F3" s="22" t="inlineStr">
        <is>
          <t>career-ops/output/cv-hana-aliyah-mufidah-tether-fe-kyc-2026-05-06.pdf</t>
        </is>
      </c>
      <c r="G3" s="22" t="inlineStr">
        <is>
          <t>Done (4.2/5 evaluated)</t>
        </is>
      </c>
      <c r="H3" s="22" t="inlineStr">
        <is>
          <t>KYC compliance is the part of crypto product I have spent the past year on — at Nespay I integrated Sumsub and Kredibel end-to-end on a React/Next admin and customer flow. Bitfinex KYC is the same problem at much larger scale.</t>
        </is>
      </c>
      <c r="I3" s="22" t="inlineStr">
        <is>
          <t>Bitfinex KYC is one of the most stress-tested compliance surfaces in crypto. The chance to ship into that environment, on a stack (React, Redux, Node, MongoDB) that maps to what I already use, is rare.</t>
        </is>
      </c>
      <c r="J3" s="22" t="inlineStr">
        <is>
          <t>5 yrs of frontend at ION on a complex enterprise platform — debugging hidden issues, condition-based UI logic, input validation. Now leading the Backoffice Dashboard (React/Next) at Nespay including KYC integration UX with Sumsub and Kredibel. 7+ yrs JS/TS overall.</t>
        </is>
      </c>
      <c r="K3" s="22" t="inlineStr">
        <is>
          <t>I bring React + KYC integration experience already in production, plus enough backend (Node.js, MongoDB, RPC) to run the app locally and reason across the stack — which the JD asks for explicitly.</t>
        </is>
      </c>
      <c r="L3" s="22" t="inlineStr">
        <is>
          <t>Through my own job-search workflow. Tether ranked highest against my criteria.</t>
        </is>
      </c>
      <c r="M3" s="22" t="inlineStr">
        <is>
          <t>Senior title gap: I am Mid-level by title, senior by scope. Be ready to defend if asked.</t>
        </is>
      </c>
      <c r="N3" s="22" t="inlineStr">
        <is>
          <t>YES (per Tether application)</t>
        </is>
      </c>
      <c r="O3" s="22" t="inlineStr">
        <is>
          <t>60–90s; open with one specific Bitfinex KYC pain point I have observed; one sentence on why frontend specifically (React/Redux + KYC); one Nespay proof (Sumsub + Kredibel on React/Next); one question on KYC roadmap. Bullets only.</t>
        </is>
      </c>
      <c r="P3" s="22" t="inlineStr">
        <is>
          <t>Not recorded</t>
        </is>
      </c>
      <c r="Q3" s="22" t="inlineStr">
        <is>
          <t>YES — rewrite all drafts in own voice before pasting</t>
        </is>
      </c>
      <c r="R3" s="22" t="inlineStr">
        <is>
          <t>Not submitted</t>
        </is>
      </c>
      <c r="S3" s="22" t="inlineStr">
        <is>
          <t>Score 4.2/5 — see career-ops/reports/002-tether-2026-05-06.md. Gaps: Redux + SASS not on CV; brush up Redux Toolkit before interview.</t>
        </is>
      </c>
    </row>
    <row r="4">
      <c r="A4" s="22">
        <f>ROW()-1</f>
        <v/>
      </c>
      <c r="B4" s="22" t="inlineStr">
        <is>
          <t>2026-05-07</t>
        </is>
      </c>
      <c r="C4" s="22" t="inlineStr">
        <is>
          <t>Tether</t>
        </is>
      </c>
      <c r="D4" s="22" t="inlineStr">
        <is>
          <t>Senior Fullstack Developer — 100% Remote Worldwide</t>
        </is>
      </c>
      <c r="E4" s="22" t="inlineStr">
        <is>
          <t>https://careers.tether.io/o/senior-fullstack-developer-100-remote-worldwide</t>
        </is>
      </c>
      <c r="F4" s="22" t="inlineStr">
        <is>
          <t>career-ops/output/cv-hana-aliyah-mufidah-tether-fs-2026-05-07.pdf</t>
        </is>
      </c>
      <c r="G4" s="22" t="inlineStr">
        <is>
          <t>Done (4.0/5 evaluated)</t>
        </is>
      </c>
      <c r="H4" s="22" t="inlineStr">
        <is>
          <t>Rewrite in own voice — see report H</t>
        </is>
      </c>
      <c r="I4" s="22" t="inlineStr">
        <is>
          <t>Rewrite in own voice — see report H</t>
        </is>
      </c>
      <c r="J4" s="22" t="inlineStr">
        <is>
          <t>Rewrite in own voice — see report H</t>
        </is>
      </c>
      <c r="K4" s="22" t="inlineStr">
        <is>
          <t>Rewrite in own voice — see report H</t>
        </is>
      </c>
      <c r="L4" s="22" t="inlineStr">
        <is>
          <t>Rewrite in own voice — see report H</t>
        </is>
      </c>
      <c r="M4" s="22" t="inlineStr">
        <is>
          <t>Senior title gap: Mid-level by title, senior by scope. Honest framing on Kubernetes (Docker only in prod) and Holepunch (will read docs).</t>
        </is>
      </c>
      <c r="N4" s="22" t="inlineStr">
        <is>
          <t>TBD — check on submission</t>
        </is>
      </c>
      <c r="O4" s="22" t="inlineStr">
        <is>
          <t>60-90s; open with Nespay multi-provider failover anecdote (no user impact); one sentence on backend-emphasis fullstack (vs. FE-only); one question: how the platform handles GPU job scheduling under contention. Bullets only — do not script.</t>
        </is>
      </c>
      <c r="P4" s="22" t="inlineStr">
        <is>
          <t>Not recorded</t>
        </is>
      </c>
      <c r="Q4" s="22" t="inlineStr">
        <is>
          <t>YES — rewrite all drafts in own voice before pasting</t>
        </is>
      </c>
      <c r="R4" s="22" t="inlineStr">
        <is>
          <t>Not submitted</t>
        </is>
      </c>
      <c r="S4" s="22" t="inlineStr">
        <is>
          <t>Score 4.0/5 — see career-ops/reports/003-tether-fs-2026-05-07.md. Gaps (all preferred only): Kubernetes, Holepunch p2p, AI/ML infra.</t>
        </is>
      </c>
    </row>
  </sheetData>
  <conditionalFormatting sqref="P2:P1000">
    <cfRule type="cellIs" priority="1" operator="equal" dxfId="0">
      <formula>"Not required"</formula>
    </cfRule>
    <cfRule type="cellIs" priority="2" operator="equal" dxfId="2">
      <formula>"Not recorded"</formula>
    </cfRule>
    <cfRule type="cellIs" priority="3" operator="equal" dxfId="6">
      <formula>"Recording"</formula>
    </cfRule>
    <cfRule type="cellIs" priority="4" operator="equal" dxfId="3">
      <formula>"Recorded"</formula>
    </cfRule>
    <cfRule type="cellIs" priority="5" operator="equal" dxfId="1">
      <formula>"Submitted"</formula>
    </cfRule>
  </conditionalFormatting>
  <conditionalFormatting sqref="R2:R1000">
    <cfRule type="cellIs" priority="6" operator="equal" dxfId="2">
      <formula>"Not submitted"</formula>
    </cfRule>
    <cfRule type="cellIs" priority="7" operator="equal" dxfId="1">
      <formula>"Submitted"</formula>
    </cfRule>
    <cfRule type="cellIs" priority="8" operator="equal" dxfId="3">
      <formula>"Acknowledged"</formula>
    </cfRule>
    <cfRule type="cellIs" priority="9" operator="equal" dxfId="17">
      <formula>"Interview"</formula>
    </cfRule>
    <cfRule type="cellIs" priority="10" operator="equal" dxfId="0">
      <formula>"Rejected"</formula>
    </cfRule>
    <cfRule type="cellIs" priority="11" operator="equal" dxfId="0">
      <formula>"Withdrawn"</formula>
    </cfRule>
    <cfRule type="cellIs" priority="12" operator="equal" dxfId="2">
      <formula>"Not submitted"</formula>
    </cfRule>
    <cfRule type="cellIs" priority="13" operator="equal" dxfId="1">
      <formula>"Submitted"</formula>
    </cfRule>
  </conditionalFormatting>
  <dataValidations count="4">
    <dataValidation sqref="P10:P1000" showDropDown="0" showInputMessage="0" showErrorMessage="0" allowBlank="1" type="list">
      <formula1>"Not required,Not recorded,Recording,Recorded,Submitted"</formula1>
    </dataValidation>
    <dataValidation sqref="P2:P1000" showDropDown="0" showInputMessage="0" showErrorMessage="0" allowBlank="1" type="list">
      <formula1>"Not required,Not recorded,Recording,Recorded,Submitted"</formula1>
    </dataValidation>
    <dataValidation sqref="R10:R1000" showDropDown="0" showInputMessage="0" showErrorMessage="0" allowBlank="1" type="list">
      <formula1>"Not submitted,Submitted"</formula1>
    </dataValidation>
    <dataValidation sqref="R2:R1000" showDropDown="0" showInputMessage="0" showErrorMessage="0" allowBlank="1" type="list">
      <formula1>"Not submitted,Submitted"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1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5" customWidth="1" style="1" min="1" max="1"/>
    <col width="12" customWidth="1" style="1" min="2" max="2"/>
    <col width="22" customWidth="1" style="1" min="3" max="3"/>
    <col width="28" customWidth="1" style="1" min="4" max="4"/>
    <col width="18" customWidth="1" style="1" min="5" max="6"/>
    <col width="32" customWidth="1" style="1" min="7" max="7"/>
    <col width="12" customWidth="1" style="1" min="8" max="9"/>
    <col width="22" customWidth="1" style="1" min="10" max="11"/>
    <col width="28" customWidth="1" style="1" min="12" max="12"/>
    <col width="16" customWidth="1" style="1" min="13" max="13"/>
    <col width="26" customWidth="1" style="1" min="14" max="15"/>
    <col width="13" customWidth="1" style="1" min="16" max="16"/>
    <col width="40" customWidth="1" style="1" min="17" max="17"/>
  </cols>
  <sheetData>
    <row r="1">
      <c r="A1" s="7" t="inlineStr">
        <is>
          <t>#</t>
        </is>
      </c>
      <c r="B1" s="7" t="inlineStr">
        <is>
          <t>Date Applied</t>
        </is>
      </c>
      <c r="C1" s="7" t="inlineStr">
        <is>
          <t>Company</t>
        </is>
      </c>
      <c r="D1" s="7" t="inlineStr">
        <is>
          <t>Role</t>
        </is>
      </c>
      <c r="E1" s="7" t="inlineStr">
        <is>
          <t>Location / Remote</t>
        </is>
      </c>
      <c r="F1" s="7" t="inlineStr">
        <is>
          <t>Source / Portal</t>
        </is>
      </c>
      <c r="G1" s="7" t="inlineStr">
        <is>
          <t>Job URL</t>
        </is>
      </c>
      <c r="H1" s="7" t="inlineStr">
        <is>
          <t>Status</t>
        </is>
      </c>
      <c r="I1" s="7" t="inlineStr">
        <is>
          <t>Last Update</t>
        </is>
      </c>
      <c r="J1" s="7" t="inlineStr">
        <is>
          <t>CV Used</t>
        </is>
      </c>
      <c r="K1" s="7" t="inlineStr">
        <is>
          <t>Cover Letter</t>
        </is>
      </c>
      <c r="L1" s="7" t="inlineStr">
        <is>
          <t>Application Link</t>
        </is>
      </c>
      <c r="M1" s="7" t="inlineStr">
        <is>
          <t>Salary / Range</t>
        </is>
      </c>
      <c r="N1" s="7" t="inlineStr">
        <is>
          <t>Contact (name, email/LI)</t>
        </is>
      </c>
      <c r="O1" s="7" t="inlineStr">
        <is>
          <t>Next Action</t>
        </is>
      </c>
      <c r="P1" s="7" t="inlineStr">
        <is>
          <t>Follow-up Date</t>
        </is>
      </c>
      <c r="Q1" s="7" t="inlineStr">
        <is>
          <t>Notes</t>
        </is>
      </c>
    </row>
    <row r="2">
      <c r="A2">
        <f>ROW()-1</f>
        <v/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>
      <c r="A3">
        <f>ROW()-1</f>
        <v/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</row>
    <row r="4">
      <c r="A4">
        <f>ROW()-1</f>
        <v/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</row>
    <row r="5">
      <c r="A5">
        <f>ROW()-1</f>
        <v/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</row>
    <row r="6">
      <c r="A6">
        <f>ROW()-1</f>
        <v/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</row>
    <row r="7">
      <c r="A7">
        <f>ROW()-1</f>
        <v/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</row>
    <row r="8">
      <c r="A8">
        <f>ROW()-1</f>
        <v/>
      </c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</row>
    <row r="9">
      <c r="A9">
        <f>ROW()-1</f>
        <v/>
      </c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</row>
    <row r="10">
      <c r="A10">
        <f>ROW()-1</f>
        <v/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</row>
    <row r="11">
      <c r="A11">
        <f>ROW()-1</f>
        <v/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</row>
    <row r="12">
      <c r="A12">
        <f>ROW()-1</f>
        <v/>
      </c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</row>
    <row r="13">
      <c r="A13">
        <f>ROW()-1</f>
        <v/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</row>
    <row r="14">
      <c r="A14">
        <f>ROW()-1</f>
        <v/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</row>
    <row r="15">
      <c r="A15">
        <f>ROW()-1</f>
        <v/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</row>
    <row r="16">
      <c r="A16">
        <f>ROW()-1</f>
        <v/>
      </c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</row>
    <row r="17">
      <c r="A17">
        <f>ROW()-1</f>
        <v/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</row>
    <row r="18">
      <c r="A18">
        <f>ROW()-1</f>
        <v/>
      </c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</row>
    <row r="19">
      <c r="A19">
        <f>ROW()-1</f>
        <v/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</row>
    <row r="20">
      <c r="A20">
        <f>ROW()-1</f>
        <v/>
      </c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</row>
    <row r="21">
      <c r="A21">
        <f>ROW()-1</f>
        <v/>
      </c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</row>
    <row r="22">
      <c r="A22">
        <f>ROW()-1</f>
        <v/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</row>
    <row r="23">
      <c r="A23">
        <f>ROW()-1</f>
        <v/>
      </c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</row>
    <row r="24">
      <c r="A24">
        <f>ROW()-1</f>
        <v/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</row>
    <row r="25">
      <c r="A25">
        <f>ROW()-1</f>
        <v/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</row>
    <row r="26">
      <c r="A26">
        <f>ROW()-1</f>
        <v/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</row>
    <row r="27">
      <c r="A27">
        <f>ROW()-1</f>
        <v/>
      </c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</row>
    <row r="28">
      <c r="A28">
        <f>ROW()-1</f>
        <v/>
      </c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</row>
    <row r="29">
      <c r="A29">
        <f>ROW()-1</f>
        <v/>
      </c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</row>
    <row r="30">
      <c r="A30">
        <f>ROW()-1</f>
        <v/>
      </c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</row>
    <row r="31">
      <c r="A31">
        <f>ROW()-1</f>
        <v/>
      </c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</row>
    <row r="32">
      <c r="A32">
        <f>ROW()-1</f>
        <v/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</row>
    <row r="33">
      <c r="A33">
        <f>ROW()-1</f>
        <v/>
      </c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</row>
    <row r="34">
      <c r="A34">
        <f>ROW()-1</f>
        <v/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</row>
    <row r="35">
      <c r="A35">
        <f>ROW()-1</f>
        <v/>
      </c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</row>
    <row r="36">
      <c r="A36">
        <f>ROW()-1</f>
        <v/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</row>
    <row r="37">
      <c r="A37">
        <f>ROW()-1</f>
        <v/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</row>
    <row r="38">
      <c r="A38">
        <f>ROW()-1</f>
        <v/>
      </c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</row>
    <row r="39">
      <c r="A39">
        <f>ROW()-1</f>
        <v/>
      </c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</row>
    <row r="40">
      <c r="A40">
        <f>ROW()-1</f>
        <v/>
      </c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</row>
    <row r="41">
      <c r="A41">
        <f>ROW()-1</f>
        <v/>
      </c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</row>
    <row r="42">
      <c r="A42">
        <f>ROW()-1</f>
        <v/>
      </c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</row>
    <row r="43">
      <c r="A43">
        <f>ROW()-1</f>
        <v/>
      </c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</row>
    <row r="44">
      <c r="A44">
        <f>ROW()-1</f>
        <v/>
      </c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</row>
    <row r="45">
      <c r="A45">
        <f>ROW()-1</f>
        <v/>
      </c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</row>
    <row r="46">
      <c r="A46">
        <f>ROW()-1</f>
        <v/>
      </c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</row>
    <row r="47">
      <c r="A47">
        <f>ROW()-1</f>
        <v/>
      </c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</row>
    <row r="48">
      <c r="A48">
        <f>ROW()-1</f>
        <v/>
      </c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</row>
    <row r="49">
      <c r="A49">
        <f>ROW()-1</f>
        <v/>
      </c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</row>
    <row r="50">
      <c r="A50">
        <f>ROW()-1</f>
        <v/>
      </c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</row>
    <row r="51">
      <c r="A51">
        <f>ROW()-1</f>
        <v/>
      </c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</row>
    <row r="52">
      <c r="A52">
        <f>ROW()-1</f>
        <v/>
      </c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</row>
    <row r="53">
      <c r="A53">
        <f>ROW()-1</f>
        <v/>
      </c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</row>
    <row r="54">
      <c r="A54">
        <f>ROW()-1</f>
        <v/>
      </c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</row>
    <row r="55">
      <c r="A55">
        <f>ROW()-1</f>
        <v/>
      </c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</row>
    <row r="56">
      <c r="A56">
        <f>ROW()-1</f>
        <v/>
      </c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</row>
    <row r="57">
      <c r="A57">
        <f>ROW()-1</f>
        <v/>
      </c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</row>
    <row r="58">
      <c r="A58">
        <f>ROW()-1</f>
        <v/>
      </c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</row>
    <row r="59">
      <c r="A59">
        <f>ROW()-1</f>
        <v/>
      </c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</row>
    <row r="60">
      <c r="A60">
        <f>ROW()-1</f>
        <v/>
      </c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</row>
    <row r="61">
      <c r="A61">
        <f>ROW()-1</f>
        <v/>
      </c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</row>
    <row r="62">
      <c r="A62">
        <f>ROW()-1</f>
        <v/>
      </c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</row>
    <row r="63">
      <c r="A63">
        <f>ROW()-1</f>
        <v/>
      </c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</row>
    <row r="64">
      <c r="A64">
        <f>ROW()-1</f>
        <v/>
      </c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</row>
    <row r="65">
      <c r="A65">
        <f>ROW()-1</f>
        <v/>
      </c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</row>
    <row r="66">
      <c r="A66">
        <f>ROW()-1</f>
        <v/>
      </c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</row>
    <row r="67">
      <c r="A67">
        <f>ROW()-1</f>
        <v/>
      </c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</row>
    <row r="68">
      <c r="A68">
        <f>ROW()-1</f>
        <v/>
      </c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</row>
    <row r="69">
      <c r="A69">
        <f>ROW()-1</f>
        <v/>
      </c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</row>
    <row r="70">
      <c r="A70">
        <f>ROW()-1</f>
        <v/>
      </c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</row>
    <row r="71">
      <c r="A71">
        <f>ROW()-1</f>
        <v/>
      </c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</row>
    <row r="72">
      <c r="A72">
        <f>ROW()-1</f>
        <v/>
      </c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</row>
    <row r="73">
      <c r="A73">
        <f>ROW()-1</f>
        <v/>
      </c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</row>
    <row r="74">
      <c r="A74">
        <f>ROW()-1</f>
        <v/>
      </c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</row>
    <row r="75">
      <c r="A75">
        <f>ROW()-1</f>
        <v/>
      </c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</row>
    <row r="76">
      <c r="A76">
        <f>ROW()-1</f>
        <v/>
      </c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</row>
    <row r="77">
      <c r="A77">
        <f>ROW()-1</f>
        <v/>
      </c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</row>
    <row r="78">
      <c r="A78">
        <f>ROW()-1</f>
        <v/>
      </c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</row>
    <row r="79">
      <c r="A79">
        <f>ROW()-1</f>
        <v/>
      </c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</row>
    <row r="80">
      <c r="A80">
        <f>ROW()-1</f>
        <v/>
      </c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</row>
    <row r="81">
      <c r="A81">
        <f>ROW()-1</f>
        <v/>
      </c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</row>
    <row r="82">
      <c r="A82">
        <f>ROW()-1</f>
        <v/>
      </c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</row>
    <row r="83">
      <c r="A83">
        <f>ROW()-1</f>
        <v/>
      </c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</row>
    <row r="84">
      <c r="A84">
        <f>ROW()-1</f>
        <v/>
      </c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</row>
    <row r="85">
      <c r="A85">
        <f>ROW()-1</f>
        <v/>
      </c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</row>
    <row r="86">
      <c r="A86">
        <f>ROW()-1</f>
        <v/>
      </c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</row>
    <row r="87">
      <c r="A87">
        <f>ROW()-1</f>
        <v/>
      </c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</row>
    <row r="88">
      <c r="A88">
        <f>ROW()-1</f>
        <v/>
      </c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</row>
    <row r="89">
      <c r="A89">
        <f>ROW()-1</f>
        <v/>
      </c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</row>
    <row r="90">
      <c r="A90">
        <f>ROW()-1</f>
        <v/>
      </c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</row>
    <row r="91">
      <c r="A91">
        <f>ROW()-1</f>
        <v/>
      </c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</row>
    <row r="92">
      <c r="A92">
        <f>ROW()-1</f>
        <v/>
      </c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</row>
    <row r="93">
      <c r="A93">
        <f>ROW()-1</f>
        <v/>
      </c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</row>
    <row r="94">
      <c r="A94">
        <f>ROW()-1</f>
        <v/>
      </c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</row>
    <row r="95">
      <c r="A95">
        <f>ROW()-1</f>
        <v/>
      </c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</row>
    <row r="96">
      <c r="A96">
        <f>ROW()-1</f>
        <v/>
      </c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</row>
    <row r="97">
      <c r="A97">
        <f>ROW()-1</f>
        <v/>
      </c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</row>
    <row r="98">
      <c r="A98">
        <f>ROW()-1</f>
        <v/>
      </c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</row>
    <row r="99">
      <c r="A99">
        <f>ROW()-1</f>
        <v/>
      </c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</row>
    <row r="100">
      <c r="A100">
        <f>ROW()-1</f>
        <v/>
      </c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</row>
    <row r="101">
      <c r="A101">
        <f>ROW()-1</f>
        <v/>
      </c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</row>
    <row r="102">
      <c r="A102">
        <f>ROW()-1</f>
        <v/>
      </c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</row>
    <row r="103">
      <c r="A103">
        <f>ROW()-1</f>
        <v/>
      </c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</row>
    <row r="104">
      <c r="A104">
        <f>ROW()-1</f>
        <v/>
      </c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</row>
    <row r="105">
      <c r="A105">
        <f>ROW()-1</f>
        <v/>
      </c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</row>
    <row r="106">
      <c r="A106">
        <f>ROW()-1</f>
        <v/>
      </c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</row>
    <row r="107">
      <c r="A107">
        <f>ROW()-1</f>
        <v/>
      </c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</row>
    <row r="108">
      <c r="A108">
        <f>ROW()-1</f>
        <v/>
      </c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</row>
    <row r="109">
      <c r="A109">
        <f>ROW()-1</f>
        <v/>
      </c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</row>
    <row r="110">
      <c r="A110">
        <f>ROW()-1</f>
        <v/>
      </c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</row>
    <row r="111">
      <c r="A111">
        <f>ROW()-1</f>
        <v/>
      </c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</row>
    <row r="112">
      <c r="A112">
        <f>ROW()-1</f>
        <v/>
      </c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</row>
    <row r="113">
      <c r="A113">
        <f>ROW()-1</f>
        <v/>
      </c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</row>
    <row r="114">
      <c r="A114">
        <f>ROW()-1</f>
        <v/>
      </c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</row>
    <row r="115">
      <c r="A115">
        <f>ROW()-1</f>
        <v/>
      </c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</row>
    <row r="116">
      <c r="A116">
        <f>ROW()-1</f>
        <v/>
      </c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</row>
    <row r="117">
      <c r="A117">
        <f>ROW()-1</f>
        <v/>
      </c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</row>
    <row r="118">
      <c r="A118">
        <f>ROW()-1</f>
        <v/>
      </c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</row>
    <row r="119">
      <c r="A119">
        <f>ROW()-1</f>
        <v/>
      </c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</row>
    <row r="120">
      <c r="A120">
        <f>ROW()-1</f>
        <v/>
      </c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</row>
    <row r="121">
      <c r="A121">
        <f>ROW()-1</f>
        <v/>
      </c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</row>
    <row r="122">
      <c r="A122">
        <f>ROW()-1</f>
        <v/>
      </c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</row>
    <row r="123">
      <c r="A123">
        <f>ROW()-1</f>
        <v/>
      </c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</row>
    <row r="124">
      <c r="A124">
        <f>ROW()-1</f>
        <v/>
      </c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</row>
    <row r="125">
      <c r="A125">
        <f>ROW()-1</f>
        <v/>
      </c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</row>
    <row r="126">
      <c r="A126">
        <f>ROW()-1</f>
        <v/>
      </c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</row>
    <row r="127">
      <c r="A127">
        <f>ROW()-1</f>
        <v/>
      </c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</row>
    <row r="128">
      <c r="A128">
        <f>ROW()-1</f>
        <v/>
      </c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</row>
    <row r="129">
      <c r="A129">
        <f>ROW()-1</f>
        <v/>
      </c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</row>
    <row r="130">
      <c r="A130">
        <f>ROW()-1</f>
        <v/>
      </c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</row>
    <row r="131">
      <c r="A131">
        <f>ROW()-1</f>
        <v/>
      </c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</row>
    <row r="132">
      <c r="A132">
        <f>ROW()-1</f>
        <v/>
      </c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</row>
    <row r="133">
      <c r="A133">
        <f>ROW()-1</f>
        <v/>
      </c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</row>
    <row r="134">
      <c r="A134">
        <f>ROW()-1</f>
        <v/>
      </c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</row>
    <row r="135">
      <c r="A135">
        <f>ROW()-1</f>
        <v/>
      </c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</row>
    <row r="136">
      <c r="A136">
        <f>ROW()-1</f>
        <v/>
      </c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</row>
    <row r="137">
      <c r="A137">
        <f>ROW()-1</f>
        <v/>
      </c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</row>
    <row r="138">
      <c r="A138">
        <f>ROW()-1</f>
        <v/>
      </c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</row>
    <row r="139">
      <c r="A139">
        <f>ROW()-1</f>
        <v/>
      </c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</row>
    <row r="140">
      <c r="A140">
        <f>ROW()-1</f>
        <v/>
      </c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</row>
    <row r="141">
      <c r="A141">
        <f>ROW()-1</f>
        <v/>
      </c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</row>
    <row r="142">
      <c r="A142">
        <f>ROW()-1</f>
        <v/>
      </c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</row>
    <row r="143">
      <c r="A143">
        <f>ROW()-1</f>
        <v/>
      </c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</row>
    <row r="144">
      <c r="A144">
        <f>ROW()-1</f>
        <v/>
      </c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</row>
    <row r="145">
      <c r="A145">
        <f>ROW()-1</f>
        <v/>
      </c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</row>
    <row r="146">
      <c r="A146">
        <f>ROW()-1</f>
        <v/>
      </c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</row>
    <row r="147">
      <c r="A147">
        <f>ROW()-1</f>
        <v/>
      </c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</row>
    <row r="148">
      <c r="A148">
        <f>ROW()-1</f>
        <v/>
      </c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</row>
    <row r="149">
      <c r="A149">
        <f>ROW()-1</f>
        <v/>
      </c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</row>
    <row r="150">
      <c r="A150">
        <f>ROW()-1</f>
        <v/>
      </c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</row>
    <row r="151">
      <c r="A151">
        <f>ROW()-1</f>
        <v/>
      </c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</row>
    <row r="152">
      <c r="A152">
        <f>ROW()-1</f>
        <v/>
      </c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</row>
    <row r="153">
      <c r="A153">
        <f>ROW()-1</f>
        <v/>
      </c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</row>
    <row r="154">
      <c r="A154">
        <f>ROW()-1</f>
        <v/>
      </c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</row>
    <row r="155">
      <c r="A155">
        <f>ROW()-1</f>
        <v/>
      </c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</row>
    <row r="156">
      <c r="A156">
        <f>ROW()-1</f>
        <v/>
      </c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</row>
    <row r="157">
      <c r="A157">
        <f>ROW()-1</f>
        <v/>
      </c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</row>
    <row r="158">
      <c r="A158">
        <f>ROW()-1</f>
        <v/>
      </c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</row>
    <row r="159">
      <c r="A159">
        <f>ROW()-1</f>
        <v/>
      </c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</row>
    <row r="160">
      <c r="A160">
        <f>ROW()-1</f>
        <v/>
      </c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</row>
    <row r="161">
      <c r="A161">
        <f>ROW()-1</f>
        <v/>
      </c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</row>
    <row r="162">
      <c r="A162">
        <f>ROW()-1</f>
        <v/>
      </c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</row>
    <row r="163">
      <c r="A163">
        <f>ROW()-1</f>
        <v/>
      </c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</row>
    <row r="164">
      <c r="A164">
        <f>ROW()-1</f>
        <v/>
      </c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</row>
    <row r="165">
      <c r="A165">
        <f>ROW()-1</f>
        <v/>
      </c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</row>
    <row r="166">
      <c r="A166">
        <f>ROW()-1</f>
        <v/>
      </c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</row>
    <row r="167">
      <c r="A167">
        <f>ROW()-1</f>
        <v/>
      </c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</row>
    <row r="168">
      <c r="A168">
        <f>ROW()-1</f>
        <v/>
      </c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</row>
    <row r="169">
      <c r="A169">
        <f>ROW()-1</f>
        <v/>
      </c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</row>
    <row r="170">
      <c r="A170">
        <f>ROW()-1</f>
        <v/>
      </c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</row>
    <row r="171">
      <c r="A171">
        <f>ROW()-1</f>
        <v/>
      </c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</row>
    <row r="172">
      <c r="A172">
        <f>ROW()-1</f>
        <v/>
      </c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</row>
    <row r="173">
      <c r="A173">
        <f>ROW()-1</f>
        <v/>
      </c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</row>
    <row r="174">
      <c r="A174">
        <f>ROW()-1</f>
        <v/>
      </c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</row>
    <row r="175">
      <c r="A175">
        <f>ROW()-1</f>
        <v/>
      </c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</row>
    <row r="176">
      <c r="A176">
        <f>ROW()-1</f>
        <v/>
      </c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</row>
    <row r="177">
      <c r="A177">
        <f>ROW()-1</f>
        <v/>
      </c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</row>
    <row r="178">
      <c r="A178">
        <f>ROW()-1</f>
        <v/>
      </c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</row>
    <row r="179">
      <c r="A179">
        <f>ROW()-1</f>
        <v/>
      </c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</row>
    <row r="180">
      <c r="A180">
        <f>ROW()-1</f>
        <v/>
      </c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</row>
    <row r="181">
      <c r="A181">
        <f>ROW()-1</f>
        <v/>
      </c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</row>
    <row r="182">
      <c r="A182">
        <f>ROW()-1</f>
        <v/>
      </c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</row>
    <row r="183">
      <c r="A183">
        <f>ROW()-1</f>
        <v/>
      </c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</row>
    <row r="184">
      <c r="A184">
        <f>ROW()-1</f>
        <v/>
      </c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</row>
    <row r="185">
      <c r="A185">
        <f>ROW()-1</f>
        <v/>
      </c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</row>
    <row r="186">
      <c r="A186">
        <f>ROW()-1</f>
        <v/>
      </c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</row>
    <row r="187">
      <c r="A187">
        <f>ROW()-1</f>
        <v/>
      </c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</row>
    <row r="188">
      <c r="A188">
        <f>ROW()-1</f>
        <v/>
      </c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</row>
    <row r="189">
      <c r="A189">
        <f>ROW()-1</f>
        <v/>
      </c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</row>
    <row r="190">
      <c r="A190">
        <f>ROW()-1</f>
        <v/>
      </c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</row>
    <row r="191">
      <c r="A191">
        <f>ROW()-1</f>
        <v/>
      </c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</row>
    <row r="192">
      <c r="A192">
        <f>ROW()-1</f>
        <v/>
      </c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</row>
    <row r="193">
      <c r="A193">
        <f>ROW()-1</f>
        <v/>
      </c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</row>
    <row r="194">
      <c r="A194">
        <f>ROW()-1</f>
        <v/>
      </c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</row>
    <row r="195">
      <c r="A195">
        <f>ROW()-1</f>
        <v/>
      </c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</row>
    <row r="196">
      <c r="A196">
        <f>ROW()-1</f>
        <v/>
      </c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</row>
    <row r="197">
      <c r="A197">
        <f>ROW()-1</f>
        <v/>
      </c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</row>
    <row r="198">
      <c r="A198">
        <f>ROW()-1</f>
        <v/>
      </c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</row>
    <row r="199">
      <c r="A199">
        <f>ROW()-1</f>
        <v/>
      </c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</row>
    <row r="200">
      <c r="A200">
        <f>ROW()-1</f>
        <v/>
      </c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</row>
    <row r="201">
      <c r="A201">
        <f>ROW()-1</f>
        <v/>
      </c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</row>
  </sheetData>
  <conditionalFormatting sqref="H2:H1000">
    <cfRule type="cellIs" priority="1" operator="equal" dxfId="0">
      <formula>"Wishlist"</formula>
    </cfRule>
    <cfRule type="cellIs" priority="2" operator="equal" dxfId="3">
      <formula>"Evaluated"</formula>
    </cfRule>
    <cfRule type="cellIs" priority="3" operator="equal" dxfId="1">
      <formula>"Applied"</formula>
    </cfRule>
    <cfRule type="cellIs" priority="4" operator="equal" dxfId="17">
      <formula>"Responded"</formula>
    </cfRule>
    <cfRule type="cellIs" priority="5" operator="equal" dxfId="26">
      <formula>"Interview"</formula>
    </cfRule>
    <cfRule type="cellIs" priority="6" operator="equal" dxfId="27">
      <formula>"Offer"</formula>
    </cfRule>
    <cfRule type="cellIs" priority="7" operator="equal" dxfId="2">
      <formula>"Rejected"</formula>
    </cfRule>
    <cfRule type="cellIs" priority="8" operator="equal" dxfId="0">
      <formula>"Discarded"</formula>
    </cfRule>
    <cfRule type="cellIs" priority="9" operator="equal" dxfId="2">
      <formula>"SKIP"</formula>
    </cfRule>
  </conditionalFormatting>
  <dataValidations count="2">
    <dataValidation sqref="H10:H1000" showDropDown="0" showInputMessage="0" showErrorMessage="0" allowBlank="1" type="list">
      <formula1>"Evaluated,Applied,Responded,Interview,Offer,Rejected,Discarded"</formula1>
    </dataValidation>
    <dataValidation sqref="H2:H1000" showDropDown="0" showInputMessage="0" showErrorMessage="0" allowBlank="1" type="list">
      <formula1>"Evaluated,Applied,Responded,Interview,Offer,Rejected,Discarded"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8"/>
  <sheetViews>
    <sheetView zoomScale="100" zoomScaleNormal="100" workbookViewId="0">
      <pane ySplit="2" topLeftCell="A3" activePane="bottomLeft" state="frozen"/>
      <selection pane="bottomLeft" activeCell="A1" sqref="A1"/>
    </sheetView>
  </sheetViews>
  <sheetFormatPr baseColWidth="8" defaultRowHeight="15" outlineLevelRow="0"/>
  <cols>
    <col width="5" customWidth="1" style="1" min="1" max="1"/>
    <col width="26" customWidth="1" style="1" min="2" max="2"/>
    <col width="55" customWidth="1" style="1" min="3" max="3"/>
    <col width="10" customWidth="1" style="1" min="4" max="4"/>
    <col width="50" customWidth="1" style="1" min="5" max="5"/>
    <col width="18" customWidth="1" style="1" min="6" max="6"/>
  </cols>
  <sheetData>
    <row r="1">
      <c r="A1" s="9" t="inlineStr">
        <is>
          <t>Tracked Companies — synced from portals.yml (96 entries)</t>
        </is>
      </c>
    </row>
    <row r="2">
      <c r="A2" s="7" t="inlineStr">
        <is>
          <t>#</t>
        </is>
      </c>
      <c r="B2" s="7" t="inlineStr">
        <is>
          <t>Company</t>
        </is>
      </c>
      <c r="C2" s="7" t="inlineStr">
        <is>
          <t>Careers URL</t>
        </is>
      </c>
      <c r="D2" s="7" t="inlineStr">
        <is>
          <t>Enabled</t>
        </is>
      </c>
      <c r="E2" s="7" t="inlineStr">
        <is>
          <t>Notes</t>
        </is>
      </c>
      <c r="F2" s="7" t="inlineStr">
        <is>
          <t>Status (mine)</t>
        </is>
      </c>
    </row>
    <row r="3">
      <c r="A3" s="10" t="n">
        <v>1</v>
      </c>
      <c r="B3" s="10" t="inlineStr">
        <is>
          <t>Anthropic</t>
        </is>
      </c>
      <c r="C3" s="23" t="inlineStr">
        <is>
          <t>https://job-boards.greenhouse.io/anthropic</t>
        </is>
      </c>
      <c r="D3" s="10" t="inlineStr">
        <is>
          <t>Yes</t>
        </is>
      </c>
      <c r="E3" s="10" t="n"/>
      <c r="F3" s="10" t="n"/>
    </row>
    <row r="4">
      <c r="A4" s="10" t="n">
        <v>2</v>
      </c>
      <c r="B4" s="10" t="inlineStr">
        <is>
          <t>OpenAI</t>
        </is>
      </c>
      <c r="C4" s="23" t="inlineStr">
        <is>
          <t>https://openai.com/careers</t>
        </is>
      </c>
      <c r="D4" s="10" t="inlineStr">
        <is>
          <t>Yes</t>
        </is>
      </c>
      <c r="E4" s="10" t="n"/>
      <c r="F4" s="10" t="n"/>
    </row>
    <row r="5">
      <c r="A5" s="10" t="n">
        <v>3</v>
      </c>
      <c r="B5" s="10" t="inlineStr">
        <is>
          <t>PolyAI</t>
        </is>
      </c>
      <c r="C5" s="23" t="inlineStr">
        <is>
          <t>https://job-boards.eu.greenhouse.io/polyai</t>
        </is>
      </c>
      <c r="D5" s="10" t="inlineStr">
        <is>
          <t>Yes</t>
        </is>
      </c>
      <c r="E5" s="10" t="inlineStr">
        <is>
          <t>UK. Voice AI for enterprise contact centers.</t>
        </is>
      </c>
      <c r="F5" s="10" t="n"/>
    </row>
    <row r="6">
      <c r="A6" s="10" t="n">
        <v>4</v>
      </c>
      <c r="B6" s="10" t="inlineStr">
        <is>
          <t>Parloa</t>
        </is>
      </c>
      <c r="C6" s="23" t="inlineStr">
        <is>
          <t>https://job-boards.eu.greenhouse.io/parloa</t>
        </is>
      </c>
      <c r="D6" s="10" t="inlineStr">
        <is>
          <t>Yes</t>
        </is>
      </c>
      <c r="E6" s="10" t="inlineStr">
        <is>
          <t>Berlin EMEA. Voice AI enterprise.</t>
        </is>
      </c>
      <c r="F6" s="10" t="n"/>
    </row>
    <row r="7">
      <c r="A7" s="10" t="n">
        <v>5</v>
      </c>
      <c r="B7" s="10" t="inlineStr">
        <is>
          <t>Intercom</t>
        </is>
      </c>
      <c r="C7" s="23" t="inlineStr">
        <is>
          <t>https://job-boards.greenhouse.io/intercom</t>
        </is>
      </c>
      <c r="D7" s="10" t="inlineStr">
        <is>
          <t>Yes</t>
        </is>
      </c>
      <c r="E7" s="10" t="inlineStr">
        <is>
          <t>Dublin EMEA. Fin AI agent.</t>
        </is>
      </c>
      <c r="F7" s="10" t="n"/>
    </row>
    <row r="8">
      <c r="A8" s="10" t="n">
        <v>6</v>
      </c>
      <c r="B8" s="10" t="inlineStr">
        <is>
          <t>Hume AI</t>
        </is>
      </c>
      <c r="C8" s="23" t="inlineStr">
        <is>
          <t>https://job-boards.greenhouse.io/humeai</t>
        </is>
      </c>
      <c r="D8" s="10" t="inlineStr">
        <is>
          <t>Yes</t>
        </is>
      </c>
      <c r="E8" s="10" t="inlineStr">
        <is>
          <t>NYC. Empathic voice AI.</t>
        </is>
      </c>
      <c r="F8" s="10" t="n"/>
    </row>
    <row r="9">
      <c r="A9" s="10" t="n">
        <v>7</v>
      </c>
      <c r="B9" s="10" t="inlineStr">
        <is>
          <t>ElevenLabs</t>
        </is>
      </c>
      <c r="C9" s="23" t="inlineStr">
        <is>
          <t>https://jobs.ashbyhq.com/elevenlabs</t>
        </is>
      </c>
      <c r="D9" s="10" t="inlineStr">
        <is>
          <t>Yes</t>
        </is>
      </c>
      <c r="E9" s="10" t="inlineStr">
        <is>
          <t>Voice AI TTS leader.</t>
        </is>
      </c>
      <c r="F9" s="10" t="n"/>
    </row>
    <row r="10">
      <c r="A10" s="10" t="n">
        <v>8</v>
      </c>
      <c r="B10" s="10" t="inlineStr">
        <is>
          <t>Deepgram</t>
        </is>
      </c>
      <c r="C10" s="23" t="inlineStr">
        <is>
          <t>https://jobs.ashbyhq.com/deepgram</t>
        </is>
      </c>
      <c r="D10" s="10" t="inlineStr">
        <is>
          <t>Yes</t>
        </is>
      </c>
      <c r="E10" s="10" t="inlineStr">
        <is>
          <t>STT/TTS APIs.</t>
        </is>
      </c>
      <c r="F10" s="10" t="n"/>
    </row>
    <row r="11">
      <c r="A11" s="10" t="n">
        <v>9</v>
      </c>
      <c r="B11" s="10" t="inlineStr">
        <is>
          <t>Vapi</t>
        </is>
      </c>
      <c r="C11" s="23" t="inlineStr">
        <is>
          <t>https://jobs.ashbyhq.com/vapi</t>
        </is>
      </c>
      <c r="D11" s="10" t="inlineStr">
        <is>
          <t>Yes</t>
        </is>
      </c>
      <c r="E11" s="10" t="inlineStr">
        <is>
          <t>Voice AI infrastructure.</t>
        </is>
      </c>
      <c r="F11" s="10" t="n"/>
    </row>
    <row r="12">
      <c r="A12" s="10" t="n">
        <v>10</v>
      </c>
      <c r="B12" s="10" t="inlineStr">
        <is>
          <t>Bland AI</t>
        </is>
      </c>
      <c r="C12" s="23" t="inlineStr">
        <is>
          <t>https://jobs.ashbyhq.com/bland</t>
        </is>
      </c>
      <c r="D12" s="10" t="inlineStr">
        <is>
          <t>Yes</t>
        </is>
      </c>
      <c r="E12" s="10" t="inlineStr">
        <is>
          <t>Voice phone agents. $65M Series B.</t>
        </is>
      </c>
      <c r="F12" s="10" t="n"/>
    </row>
    <row r="13">
      <c r="A13" s="10" t="n">
        <v>11</v>
      </c>
      <c r="B13" s="10" t="inlineStr">
        <is>
          <t>Retool</t>
        </is>
      </c>
      <c r="C13" s="23" t="inlineStr">
        <is>
          <t>https://retool.com/careers</t>
        </is>
      </c>
      <c r="D13" s="10" t="inlineStr">
        <is>
          <t>Yes</t>
        </is>
      </c>
      <c r="E13" s="10" t="inlineStr">
        <is>
          <t>London. Popularized Deployed Engineer role.</t>
        </is>
      </c>
      <c r="F13" s="10" t="n"/>
    </row>
    <row r="14">
      <c r="A14" s="10" t="n">
        <v>12</v>
      </c>
      <c r="B14" s="10" t="inlineStr">
        <is>
          <t>Airtable</t>
        </is>
      </c>
      <c r="C14" s="23" t="inlineStr">
        <is>
          <t>https://job-boards.greenhouse.io/airtable</t>
        </is>
      </c>
      <c r="D14" s="10" t="inlineStr">
        <is>
          <t>Yes</t>
        </is>
      </c>
      <c r="E14" s="10" t="inlineStr">
        <is>
          <t>No-code + AI platform.</t>
        </is>
      </c>
      <c r="F14" s="10" t="n"/>
    </row>
    <row r="15">
      <c r="A15" s="10" t="n">
        <v>13</v>
      </c>
      <c r="B15" s="10" t="inlineStr">
        <is>
          <t>Vercel</t>
        </is>
      </c>
      <c r="C15" s="23" t="inlineStr">
        <is>
          <t>https://job-boards.greenhouse.io/vercel</t>
        </is>
      </c>
      <c r="D15" s="10" t="inlineStr">
        <is>
          <t>Yes</t>
        </is>
      </c>
      <c r="E15" s="10" t="inlineStr">
        <is>
          <t>AI SDK, v0.dev. Frontend AI tooling.</t>
        </is>
      </c>
      <c r="F15" s="10" t="n"/>
    </row>
    <row r="16">
      <c r="A16" s="10" t="n">
        <v>14</v>
      </c>
      <c r="B16" s="10" t="inlineStr">
        <is>
          <t>Temporal</t>
        </is>
      </c>
      <c r="C16" s="23" t="inlineStr">
        <is>
          <t>https://job-boards.greenhouse.io/temporal</t>
        </is>
      </c>
      <c r="D16" s="10" t="inlineStr">
        <is>
          <t>Yes</t>
        </is>
      </c>
      <c r="E16" s="10" t="inlineStr">
        <is>
          <t>Workflow orchestration.</t>
        </is>
      </c>
      <c r="F16" s="10" t="n"/>
    </row>
    <row r="17">
      <c r="A17" s="10" t="n">
        <v>15</v>
      </c>
      <c r="B17" s="10" t="inlineStr">
        <is>
          <t>Arize AI</t>
        </is>
      </c>
      <c r="C17" s="23" t="inlineStr">
        <is>
          <t>https://job-boards.greenhouse.io/arizeai</t>
        </is>
      </c>
      <c r="D17" s="10" t="inlineStr">
        <is>
          <t>Yes</t>
        </is>
      </c>
      <c r="E17" s="10" t="inlineStr">
        <is>
          <t>LLMOps / AI observability.</t>
        </is>
      </c>
      <c r="F17" s="10" t="n"/>
    </row>
    <row r="18">
      <c r="A18" s="10" t="n">
        <v>16</v>
      </c>
      <c r="B18" s="10" t="inlineStr">
        <is>
          <t>RunPod</t>
        </is>
      </c>
      <c r="C18" s="23" t="inlineStr">
        <is>
          <t>https://job-boards.greenhouse.io/runpod</t>
        </is>
      </c>
      <c r="D18" s="10" t="inlineStr">
        <is>
          <t>Yes</t>
        </is>
      </c>
      <c r="E18" s="10" t="inlineStr">
        <is>
          <t>GPU cloud for AI.</t>
        </is>
      </c>
      <c r="F18" s="10" t="n"/>
    </row>
    <row r="19">
      <c r="A19" s="10" t="n">
        <v>17</v>
      </c>
      <c r="B19" s="10" t="inlineStr">
        <is>
          <t>Glean</t>
        </is>
      </c>
      <c r="C19" s="23" t="inlineStr">
        <is>
          <t>https://job-boards.greenhouse.io/gleanwork</t>
        </is>
      </c>
      <c r="D19" s="10" t="inlineStr">
        <is>
          <t>Yes</t>
        </is>
      </c>
      <c r="E19" s="10" t="inlineStr">
        <is>
          <t>Enterprise AI search.</t>
        </is>
      </c>
      <c r="F19" s="10" t="n"/>
    </row>
    <row r="20">
      <c r="A20" s="10" t="n">
        <v>18</v>
      </c>
      <c r="B20" s="10" t="inlineStr">
        <is>
          <t>Ada</t>
        </is>
      </c>
      <c r="C20" s="23" t="inlineStr">
        <is>
          <t>https://job-boards.greenhouse.io/ada</t>
        </is>
      </c>
      <c r="D20" s="10" t="inlineStr">
        <is>
          <t>Yes</t>
        </is>
      </c>
      <c r="E20" s="10" t="inlineStr">
        <is>
          <t>Toronto + remote. AI customer service.</t>
        </is>
      </c>
      <c r="F20" s="10" t="n"/>
    </row>
    <row r="21">
      <c r="A21" s="10" t="n">
        <v>19</v>
      </c>
      <c r="B21" s="10" t="inlineStr">
        <is>
          <t>LivePerson</t>
        </is>
      </c>
      <c r="C21" s="23" t="inlineStr">
        <is>
          <t>https://liveperson.com/company/careers</t>
        </is>
      </c>
      <c r="D21" s="10" t="inlineStr">
        <is>
          <t>Yes</t>
        </is>
      </c>
      <c r="E21" s="10" t="inlineStr">
        <is>
          <t>Remote EMEA. Conversational AI enterprise.</t>
        </is>
      </c>
      <c r="F21" s="10" t="n"/>
    </row>
    <row r="22">
      <c r="A22" s="10" t="n">
        <v>20</v>
      </c>
      <c r="B22" s="10" t="inlineStr">
        <is>
          <t>Sierra</t>
        </is>
      </c>
      <c r="C22" s="23" t="inlineStr">
        <is>
          <t>https://jobs.ashbyhq.com/sierra</t>
        </is>
      </c>
      <c r="D22" s="10" t="inlineStr">
        <is>
          <t>Yes</t>
        </is>
      </c>
      <c r="E22" s="10" t="inlineStr">
        <is>
          <t>Bret Taylor (ex-CEO Salesforce). AI customer agents.</t>
        </is>
      </c>
      <c r="F22" s="10" t="n"/>
    </row>
    <row r="23">
      <c r="A23" s="10" t="n">
        <v>21</v>
      </c>
      <c r="B23" s="10" t="inlineStr">
        <is>
          <t>Decagon</t>
        </is>
      </c>
      <c r="C23" s="23" t="inlineStr">
        <is>
          <t>https://jobs.ashbyhq.com/decagon</t>
        </is>
      </c>
      <c r="D23" s="10" t="inlineStr">
        <is>
          <t>Yes</t>
        </is>
      </c>
      <c r="E23" s="10" t="inlineStr">
        <is>
          <t>AI customer support agents.</t>
        </is>
      </c>
      <c r="F23" s="10" t="n"/>
    </row>
    <row r="24">
      <c r="A24" s="10" t="n">
        <v>22</v>
      </c>
      <c r="B24" s="10" t="inlineStr">
        <is>
          <t>Talkdesk</t>
        </is>
      </c>
      <c r="C24" s="23" t="inlineStr">
        <is>
          <t>https://www.talkdesk.com/careers</t>
        </is>
      </c>
      <c r="D24" s="10" t="inlineStr">
        <is>
          <t>Yes</t>
        </is>
      </c>
      <c r="E24" s="10" t="inlineStr">
        <is>
          <t>Lisbon. Contact center AI. EMEA friendly.</t>
        </is>
      </c>
      <c r="F24" s="10" t="n"/>
    </row>
    <row r="25">
      <c r="A25" s="10" t="n">
        <v>23</v>
      </c>
      <c r="B25" s="10" t="inlineStr">
        <is>
          <t>Twilio</t>
        </is>
      </c>
      <c r="C25" s="23" t="inlineStr">
        <is>
          <t>https://www.twilio.com/en-us/company/jobs</t>
        </is>
      </c>
      <c r="D25" s="10" t="inlineStr">
        <is>
          <t>Yes</t>
        </is>
      </c>
      <c r="E25" s="10" t="inlineStr">
        <is>
          <t>Voice/messaging infrastructure.</t>
        </is>
      </c>
      <c r="F25" s="10" t="n"/>
    </row>
    <row r="26">
      <c r="A26" s="10" t="n">
        <v>24</v>
      </c>
      <c r="B26" s="10" t="inlineStr">
        <is>
          <t>Dialpad</t>
        </is>
      </c>
      <c r="C26" s="23" t="inlineStr">
        <is>
          <t>https://www.dialpad.com/careers</t>
        </is>
      </c>
      <c r="D26" s="10" t="inlineStr">
        <is>
          <t>Yes</t>
        </is>
      </c>
      <c r="E26" s="10" t="inlineStr">
        <is>
          <t>Voice AI for business comms.</t>
        </is>
      </c>
      <c r="F26" s="10" t="n"/>
    </row>
    <row r="27">
      <c r="A27" s="10" t="n">
        <v>25</v>
      </c>
      <c r="B27" s="10" t="inlineStr">
        <is>
          <t>Gong</t>
        </is>
      </c>
      <c r="C27" s="23" t="inlineStr">
        <is>
          <t>https://www.gong.io/careers</t>
        </is>
      </c>
      <c r="D27" s="10" t="inlineStr">
        <is>
          <t>Yes</t>
        </is>
      </c>
      <c r="E27" s="10" t="inlineStr">
        <is>
          <t>Revenue intelligence with voice AI.</t>
        </is>
      </c>
      <c r="F27" s="10" t="n"/>
    </row>
    <row r="28">
      <c r="A28" s="10" t="n">
        <v>26</v>
      </c>
      <c r="B28" s="10" t="inlineStr">
        <is>
          <t>Genesys</t>
        </is>
      </c>
      <c r="C28" s="23" t="inlineStr">
        <is>
          <t>https://www.genesys.com/careers</t>
        </is>
      </c>
      <c r="D28" s="10" t="inlineStr">
        <is>
          <t>Yes</t>
        </is>
      </c>
      <c r="E28" s="10" t="inlineStr">
        <is>
          <t>Contact center cloud + AI.</t>
        </is>
      </c>
      <c r="F28" s="10" t="n"/>
    </row>
    <row r="29">
      <c r="A29" s="10" t="n">
        <v>27</v>
      </c>
      <c r="B29" s="10" t="inlineStr">
        <is>
          <t>Salesforce</t>
        </is>
      </c>
      <c r="C29" s="23" t="inlineStr">
        <is>
          <t>https://careers.salesforce.com</t>
        </is>
      </c>
      <c r="D29" s="10" t="inlineStr">
        <is>
          <t>Yes</t>
        </is>
      </c>
      <c r="E29" s="10" t="inlineStr">
        <is>
          <t>Agentforce = AI agents platform.</t>
        </is>
      </c>
      <c r="F29" s="10" t="n"/>
    </row>
    <row r="30">
      <c r="A30" s="10" t="n">
        <v>28</v>
      </c>
      <c r="B30" s="10" t="inlineStr">
        <is>
          <t>Langfuse</t>
        </is>
      </c>
      <c r="C30" s="23" t="inlineStr">
        <is>
          <t>https://langfuse.com/careers</t>
        </is>
      </c>
      <c r="D30" s="10" t="inlineStr">
        <is>
          <t>Yes</t>
        </is>
      </c>
      <c r="E30" s="10" t="inlineStr">
        <is>
          <t>Berlin. LLMOps / observability.</t>
        </is>
      </c>
      <c r="F30" s="10" t="n"/>
    </row>
    <row r="31">
      <c r="A31" s="10" t="n">
        <v>29</v>
      </c>
      <c r="B31" s="10" t="inlineStr">
        <is>
          <t>Lindy</t>
        </is>
      </c>
      <c r="C31" s="23" t="inlineStr">
        <is>
          <t>https://jobs.ashbyhq.com/lindy</t>
        </is>
      </c>
      <c r="D31" s="10" t="inlineStr">
        <is>
          <t>Yes</t>
        </is>
      </c>
      <c r="E31" s="10" t="inlineStr">
        <is>
          <t>AI agent management platform.</t>
        </is>
      </c>
      <c r="F31" s="10" t="n"/>
    </row>
    <row r="32">
      <c r="A32" s="10" t="n">
        <v>30</v>
      </c>
      <c r="B32" s="10" t="inlineStr">
        <is>
          <t>Cognigy</t>
        </is>
      </c>
      <c r="C32" s="23" t="inlineStr">
        <is>
          <t>https://careers.cognigy.com</t>
        </is>
      </c>
      <c r="D32" s="10" t="inlineStr">
        <is>
          <t>Yes</t>
        </is>
      </c>
      <c r="E32" s="10" t="inlineStr">
        <is>
          <t>Dusseldorf EMEA. Conversational AI enterprise.</t>
        </is>
      </c>
      <c r="F32" s="10" t="n"/>
    </row>
    <row r="33">
      <c r="A33" s="10" t="n">
        <v>31</v>
      </c>
      <c r="B33" s="10" t="inlineStr">
        <is>
          <t>Speechmatics</t>
        </is>
      </c>
      <c r="C33" s="23" t="inlineStr">
        <is>
          <t>https://job-boards.greenhouse.io/speechmatics</t>
        </is>
      </c>
      <c r="D33" s="10" t="inlineStr">
        <is>
          <t>Yes</t>
        </is>
      </c>
      <c r="E33" s="10" t="inlineStr">
        <is>
          <t>Cambridge UK. Speech recognition platform.</t>
        </is>
      </c>
      <c r="F33" s="10" t="n"/>
    </row>
    <row r="34">
      <c r="A34" s="10" t="n">
        <v>32</v>
      </c>
      <c r="B34" s="10" t="inlineStr">
        <is>
          <t>n8n</t>
        </is>
      </c>
      <c r="C34" s="23" t="inlineStr">
        <is>
          <t>https://jobs.ashbyhq.com/n8n</t>
        </is>
      </c>
      <c r="D34" s="10" t="inlineStr">
        <is>
          <t>Yes</t>
        </is>
      </c>
      <c r="E34" s="10" t="inlineStr">
        <is>
          <t>Berlin + remote EU/US. Workflow automation.</t>
        </is>
      </c>
      <c r="F34" s="10" t="n"/>
    </row>
    <row r="35">
      <c r="A35" s="10" t="n">
        <v>33</v>
      </c>
      <c r="B35" s="10" t="inlineStr">
        <is>
          <t>Zapier</t>
        </is>
      </c>
      <c r="C35" s="23" t="inlineStr">
        <is>
          <t>https://jobs.ashbyhq.com/zapier</t>
        </is>
      </c>
      <c r="D35" s="10" t="inlineStr">
        <is>
          <t>Yes</t>
        </is>
      </c>
      <c r="E35" s="10" t="inlineStr">
        <is>
          <t>Remote-first. Automation platform leader.</t>
        </is>
      </c>
      <c r="F35" s="10" t="n"/>
    </row>
    <row r="36">
      <c r="A36" s="10" t="n">
        <v>34</v>
      </c>
      <c r="B36" s="10" t="inlineStr">
        <is>
          <t>Make.com (Celonis)</t>
        </is>
      </c>
      <c r="C36" s="23" t="inlineStr">
        <is>
          <t>https://www.make.com/en/careers</t>
        </is>
      </c>
      <c r="D36" s="10" t="inlineStr">
        <is>
          <t>Yes</t>
        </is>
      </c>
      <c r="E36" s="10" t="inlineStr">
        <is>
          <t>Celonis parent company. Automation platform.</t>
        </is>
      </c>
      <c r="F36" s="10" t="n"/>
    </row>
    <row r="37">
      <c r="A37" s="10" t="n">
        <v>35</v>
      </c>
      <c r="B37" s="10" t="inlineStr">
        <is>
          <t>Boomi</t>
        </is>
      </c>
      <c r="C37" s="23" t="inlineStr">
        <is>
          <t>https://job-boards.greenhouse.io/boomilp</t>
        </is>
      </c>
      <c r="D37" s="10" t="inlineStr">
        <is>
          <t>Yes</t>
        </is>
      </c>
      <c r="E37" s="10" t="inlineStr">
        <is>
          <t>Integration and automation platform.</t>
        </is>
      </c>
      <c r="F37" s="10" t="n"/>
    </row>
    <row r="38">
      <c r="A38" s="10" t="n">
        <v>36</v>
      </c>
      <c r="B38" s="10" t="inlineStr">
        <is>
          <t>Cohere</t>
        </is>
      </c>
      <c r="C38" s="23" t="inlineStr">
        <is>
          <t>https://jobs.ashbyhq.com/cohere</t>
        </is>
      </c>
      <c r="D38" s="10" t="inlineStr">
        <is>
          <t>Yes</t>
        </is>
      </c>
      <c r="E38" s="10" t="inlineStr">
        <is>
          <t>AI/LLM provider. Toronto + remote.</t>
        </is>
      </c>
      <c r="F38" s="10" t="n"/>
    </row>
    <row r="39">
      <c r="A39" s="10" t="n">
        <v>37</v>
      </c>
      <c r="B39" s="10" t="inlineStr">
        <is>
          <t>LangChain</t>
        </is>
      </c>
      <c r="C39" s="23" t="inlineStr">
        <is>
          <t>https://jobs.ashbyhq.com/langchain</t>
        </is>
      </c>
      <c r="D39" s="10" t="inlineStr">
        <is>
          <t>Yes</t>
        </is>
      </c>
      <c r="E39" s="10" t="inlineStr">
        <is>
          <t>LangChain/LangSmith framework.</t>
        </is>
      </c>
      <c r="F39" s="10" t="n"/>
    </row>
    <row r="40">
      <c r="A40" s="10" t="n">
        <v>38</v>
      </c>
      <c r="B40" s="10" t="inlineStr">
        <is>
          <t>Pinecone</t>
        </is>
      </c>
      <c r="C40" s="23" t="inlineStr">
        <is>
          <t>https://jobs.ashbyhq.com/pinecone</t>
        </is>
      </c>
      <c r="D40" s="10" t="inlineStr">
        <is>
          <t>Yes</t>
        </is>
      </c>
      <c r="E40" s="10" t="inlineStr">
        <is>
          <t>Vector database.</t>
        </is>
      </c>
      <c r="F40" s="10" t="n"/>
    </row>
    <row r="41">
      <c r="A41" s="10" t="n">
        <v>39</v>
      </c>
      <c r="B41" s="10" t="inlineStr">
        <is>
          <t>Mistral AI</t>
        </is>
      </c>
      <c r="C41" s="23" t="inlineStr">
        <is>
          <t>https://jobs.lever.co/mistral</t>
        </is>
      </c>
      <c r="D41" s="10" t="inlineStr">
        <is>
          <t>Yes</t>
        </is>
      </c>
      <c r="E41" s="10" t="inlineStr">
        <is>
          <t>Paris. European AI lab.</t>
        </is>
      </c>
      <c r="F41" s="10" t="n"/>
    </row>
    <row r="42">
      <c r="A42" s="10" t="n">
        <v>40</v>
      </c>
      <c r="B42" s="10" t="inlineStr">
        <is>
          <t>Weights &amp; Biases</t>
        </is>
      </c>
      <c r="C42" s="23" t="inlineStr">
        <is>
          <t>https://jobs.lever.co/wandb</t>
        </is>
      </c>
      <c r="D42" s="10" t="inlineStr">
        <is>
          <t>Yes</t>
        </is>
      </c>
      <c r="E42" s="10" t="inlineStr">
        <is>
          <t>MLOps platform.</t>
        </is>
      </c>
      <c r="F42" s="10" t="n"/>
    </row>
    <row r="43">
      <c r="A43" s="10" t="n">
        <v>41</v>
      </c>
      <c r="B43" s="10" t="inlineStr">
        <is>
          <t>Palantir</t>
        </is>
      </c>
      <c r="C43" s="23" t="inlineStr">
        <is>
          <t>https://jobs.lever.co/palantir</t>
        </is>
      </c>
      <c r="D43" s="10" t="inlineStr">
        <is>
          <t>Yes</t>
        </is>
      </c>
      <c r="E43" s="10" t="inlineStr">
        <is>
          <t>FDE roles. Mostly US/London.</t>
        </is>
      </c>
      <c r="F43" s="10" t="n"/>
    </row>
    <row r="44">
      <c r="A44" s="10" t="n">
        <v>42</v>
      </c>
      <c r="B44" s="10" t="inlineStr">
        <is>
          <t>Later</t>
        </is>
      </c>
      <c r="C44" s="23" t="inlineStr">
        <is>
          <t>https://job-boards.greenhouse.io/later</t>
        </is>
      </c>
      <c r="D44" s="10" t="inlineStr">
        <is>
          <t>Yes</t>
        </is>
      </c>
      <c r="E44" s="10" t="inlineStr">
        <is>
          <t>Vancouver/Toronto. Social media and creator platform.</t>
        </is>
      </c>
      <c r="F44" s="10" t="n"/>
    </row>
    <row r="45">
      <c r="A45" s="10" t="n">
        <v>43</v>
      </c>
      <c r="B45" s="10" t="inlineStr">
        <is>
          <t>Safari AI</t>
        </is>
      </c>
      <c r="C45" s="23" t="inlineStr">
        <is>
          <t>https://job-boards.greenhouse.io/safariai</t>
        </is>
      </c>
      <c r="D45" s="10" t="inlineStr">
        <is>
          <t>Yes</t>
        </is>
      </c>
      <c r="E45" s="10" t="inlineStr">
        <is>
          <t>Miami HQ / Vancouver engineering. Computer vision AI for operations in the physical economy.</t>
        </is>
      </c>
      <c r="F45" s="10" t="n"/>
    </row>
    <row r="46">
      <c r="A46" s="10" t="n">
        <v>44</v>
      </c>
      <c r="B46" s="10" t="inlineStr">
        <is>
          <t>Hootsuite</t>
        </is>
      </c>
      <c r="C46" s="23" t="inlineStr">
        <is>
          <t>https://job-boards.greenhouse.io/hootsuite</t>
        </is>
      </c>
      <c r="D46" s="10" t="inlineStr">
        <is>
          <t>Yes</t>
        </is>
      </c>
      <c r="E46" s="10" t="inlineStr">
        <is>
          <t>Vancouver. Social media management platform.</t>
        </is>
      </c>
      <c r="F46" s="10" t="n"/>
    </row>
    <row r="47">
      <c r="A47" s="10" t="n">
        <v>45</v>
      </c>
      <c r="B47" s="10" t="inlineStr">
        <is>
          <t>Klue</t>
        </is>
      </c>
      <c r="C47" s="23" t="inlineStr">
        <is>
          <t>https://jobs.ashbyhq.com/klue</t>
        </is>
      </c>
      <c r="D47" s="10" t="inlineStr">
        <is>
          <t>Yes</t>
        </is>
      </c>
      <c r="E47" s="10" t="inlineStr">
        <is>
          <t>Vancouver. Competitive intelligence SaaS.</t>
        </is>
      </c>
      <c r="F47" s="10" t="n"/>
    </row>
    <row r="48">
      <c r="A48" s="10" t="n">
        <v>46</v>
      </c>
      <c r="B48" s="10" t="inlineStr">
        <is>
          <t>Glacis AI</t>
        </is>
      </c>
      <c r="C48" s="23" t="inlineStr">
        <is>
          <t>https://jobs.ashbyhq.com/glacis-ai</t>
        </is>
      </c>
      <c r="D48" s="10" t="inlineStr">
        <is>
          <t>Yes</t>
        </is>
      </c>
      <c r="E48" s="10" t="inlineStr">
        <is>
          <t>Ho Chi Minh City. AI agents for supply chain and logistics workflows.</t>
        </is>
      </c>
      <c r="F48" s="10" t="n"/>
    </row>
    <row r="49">
      <c r="A49" s="10" t="n">
        <v>47</v>
      </c>
      <c r="B49" s="10" t="inlineStr">
        <is>
          <t>Sanctuary AI</t>
        </is>
      </c>
      <c r="C49" s="23" t="inlineStr">
        <is>
          <t>https://jobs.lever.co/sanctuary</t>
        </is>
      </c>
      <c r="D49" s="10" t="inlineStr">
        <is>
          <t>Yes</t>
        </is>
      </c>
      <c r="E49" s="10" t="inlineStr">
        <is>
          <t>Vancouver. Humanoid robotics and embodied AI.</t>
        </is>
      </c>
      <c r="F49" s="10" t="n"/>
    </row>
    <row r="50">
      <c r="A50" s="10" t="n">
        <v>48</v>
      </c>
      <c r="B50" s="10" t="inlineStr">
        <is>
          <t>Semios</t>
        </is>
      </c>
      <c r="C50" s="23" t="inlineStr">
        <is>
          <t>https://apply.workable.com/semios/</t>
        </is>
      </c>
      <c r="D50" s="10" t="inlineStr">
        <is>
          <t>Yes</t>
        </is>
      </c>
      <c r="E50" s="10" t="inlineStr">
        <is>
          <t>Vancouver. Agtech and crop intelligence platform.</t>
        </is>
      </c>
      <c r="F50" s="10" t="n"/>
    </row>
    <row r="51">
      <c r="A51" s="10" t="n">
        <v>49</v>
      </c>
      <c r="B51" s="10" t="inlineStr">
        <is>
          <t>Factorial</t>
        </is>
      </c>
      <c r="C51" s="23" t="inlineStr">
        <is>
          <t>https://job-boards.greenhouse.io/factorial</t>
        </is>
      </c>
      <c r="D51" s="10" t="inlineStr">
        <is>
          <t>Yes</t>
        </is>
      </c>
      <c r="E51" s="10" t="inlineStr">
        <is>
          <t>Barcelona. HR SaaS unicorn.</t>
        </is>
      </c>
      <c r="F51" s="10" t="n"/>
    </row>
    <row r="52">
      <c r="A52" s="10" t="n">
        <v>50</v>
      </c>
      <c r="B52" s="10" t="inlineStr">
        <is>
          <t>Attio</t>
        </is>
      </c>
      <c r="C52" s="23" t="inlineStr">
        <is>
          <t>https://jobs.ashbyhq.com/attio</t>
        </is>
      </c>
      <c r="D52" s="10" t="inlineStr">
        <is>
          <t>Yes</t>
        </is>
      </c>
      <c r="E52" s="10" t="inlineStr">
        <is>
          <t>Remote EU. AI-native CRM. Series B $52M.</t>
        </is>
      </c>
      <c r="F52" s="10" t="n"/>
    </row>
    <row r="53">
      <c r="A53" s="10" t="n">
        <v>51</v>
      </c>
      <c r="B53" s="10" t="inlineStr">
        <is>
          <t>Tinybird</t>
        </is>
      </c>
      <c r="C53" s="23" t="inlineStr">
        <is>
          <t>https://jobs.ashbyhq.com/tinybird</t>
        </is>
      </c>
      <c r="D53" s="10" t="inlineStr">
        <is>
          <t>Yes</t>
        </is>
      </c>
      <c r="E53" s="10" t="inlineStr">
        <is>
          <t>Remote. Real-time data platform.</t>
        </is>
      </c>
      <c r="F53" s="10" t="n"/>
    </row>
    <row r="54">
      <c r="A54" s="10" t="n">
        <v>52</v>
      </c>
      <c r="B54" s="10" t="inlineStr">
        <is>
          <t>Clarity AI</t>
        </is>
      </c>
      <c r="C54" s="23" t="inlineStr">
        <is>
          <t>https://jobs.lever.co/clarity-ai</t>
        </is>
      </c>
      <c r="D54" s="10" t="inlineStr">
        <is>
          <t>Yes</t>
        </is>
      </c>
      <c r="E54" s="10" t="inlineStr">
        <is>
          <t>Madrid/Remote. Sustainability analytics with AI.</t>
        </is>
      </c>
      <c r="F54" s="10" t="n"/>
    </row>
    <row r="55">
      <c r="A55" s="10" t="n">
        <v>53</v>
      </c>
      <c r="B55" s="10" t="inlineStr">
        <is>
          <t>Travelperk</t>
        </is>
      </c>
      <c r="C55" s="23" t="inlineStr">
        <is>
          <t>https://jobs.ashbyhq.com/travelperk</t>
        </is>
      </c>
      <c r="D55" s="10" t="inlineStr">
        <is>
          <t>Yes</t>
        </is>
      </c>
      <c r="E55" s="10" t="inlineStr">
        <is>
          <t>Barcelona. Business travel unicorn.</t>
        </is>
      </c>
      <c r="F55" s="10" t="n"/>
    </row>
    <row r="56">
      <c r="A56" s="10" t="n">
        <v>54</v>
      </c>
      <c r="B56" s="10" t="inlineStr">
        <is>
          <t>Aleph Alpha</t>
        </is>
      </c>
      <c r="C56" s="23" t="inlineStr">
        <is>
          <t>https://jobs.ashbyhq.com/AlephAlpha</t>
        </is>
      </c>
      <c r="D56" s="10" t="inlineStr">
        <is>
          <t>Yes</t>
        </is>
      </c>
      <c r="E56" s="10" t="inlineStr">
        <is>
          <t>Heidelberg DE. Sovereign European LLM provider, enterprise &amp; government focus.</t>
        </is>
      </c>
      <c r="F56" s="10" t="n"/>
    </row>
    <row r="57">
      <c r="A57" s="10" t="n">
        <v>55</v>
      </c>
      <c r="B57" s="10" t="inlineStr">
        <is>
          <t>DeepL</t>
        </is>
      </c>
      <c r="C57" s="23" t="inlineStr">
        <is>
          <t>https://jobs.ashbyhq.com/DeepL</t>
        </is>
      </c>
      <c r="D57" s="10" t="inlineStr">
        <is>
          <t>Yes</t>
        </is>
      </c>
      <c r="E57" s="10" t="inlineStr">
        <is>
          <t>Cologne DE. Translation &amp; language AI. 60+ open roles, EU/DACH heavy.</t>
        </is>
      </c>
      <c r="F57" s="10" t="n"/>
    </row>
    <row r="58">
      <c r="A58" s="10" t="n">
        <v>56</v>
      </c>
      <c r="B58" s="10" t="inlineStr">
        <is>
          <t>Black Forest Labs</t>
        </is>
      </c>
      <c r="C58" s="23" t="inlineStr">
        <is>
          <t>https://job-boards.greenhouse.io/blackforestlabs</t>
        </is>
      </c>
      <c r="D58" s="10" t="inlineStr">
        <is>
          <t>Yes</t>
        </is>
      </c>
      <c r="E58" s="10" t="inlineStr">
        <is>
          <t>Freiburg DE / SF. FLUX image models, ex-Stable Diffusion team.</t>
        </is>
      </c>
      <c r="F58" s="10" t="n"/>
    </row>
    <row r="59">
      <c r="A59" s="10" t="n">
        <v>57</v>
      </c>
      <c r="B59" s="10" t="inlineStr">
        <is>
          <t>Helsing</t>
        </is>
      </c>
      <c r="C59" s="23" t="inlineStr">
        <is>
          <t>https://job-boards.greenhouse.io/helsing</t>
        </is>
      </c>
      <c r="D59" s="10" t="inlineStr">
        <is>
          <t>Yes</t>
        </is>
      </c>
      <c r="E59" s="10" t="inlineStr">
        <is>
          <t>Munich / Berlin / London / Paris. Defence AI unicorn. 100+ roles, ML &amp; FDE.</t>
        </is>
      </c>
      <c r="F59" s="10" t="n"/>
    </row>
    <row r="60">
      <c r="A60" s="10" t="n">
        <v>58</v>
      </c>
      <c r="B60" s="10" t="inlineStr">
        <is>
          <t>Celonis</t>
        </is>
      </c>
      <c r="C60" s="23" t="inlineStr">
        <is>
          <t>https://job-boards.greenhouse.io/celonis</t>
        </is>
      </c>
      <c r="D60" s="10" t="inlineStr">
        <is>
          <t>Yes</t>
        </is>
      </c>
      <c r="E60" s="10" t="inlineStr">
        <is>
          <t>Munich / NYC. Process intelligence, Applied AI Engineer roles, Field CTOs.</t>
        </is>
      </c>
      <c r="F60" s="10" t="n"/>
    </row>
    <row r="61">
      <c r="A61" s="10" t="n">
        <v>59</v>
      </c>
      <c r="B61" s="10" t="inlineStr">
        <is>
          <t>Contentful</t>
        </is>
      </c>
      <c r="C61" s="23" t="inlineStr">
        <is>
          <t>https://job-boards.greenhouse.io/contentful</t>
        </is>
      </c>
      <c r="D61" s="10" t="inlineStr">
        <is>
          <t>Yes</t>
        </is>
      </c>
      <c r="E61" s="10" t="inlineStr">
        <is>
          <t>Berlin / Denver. Headless CMS, AI content workflows.</t>
        </is>
      </c>
      <c r="F61" s="10" t="n"/>
    </row>
    <row r="62">
      <c r="A62" s="10" t="n">
        <v>60</v>
      </c>
      <c r="B62" s="10" t="inlineStr">
        <is>
          <t>GetYourGuide</t>
        </is>
      </c>
      <c r="C62" s="23" t="inlineStr">
        <is>
          <t>https://job-boards.greenhouse.io/getyourguide</t>
        </is>
      </c>
      <c r="D62" s="10" t="inlineStr">
        <is>
          <t>Yes</t>
        </is>
      </c>
      <c r="E62" s="10" t="inlineStr">
        <is>
          <t>Berlin. Travel marketplace, ML &amp; data platform roles.</t>
        </is>
      </c>
      <c r="F62" s="10" t="n"/>
    </row>
    <row r="63">
      <c r="A63" s="10" t="n">
        <v>61</v>
      </c>
      <c r="B63" s="10" t="inlineStr">
        <is>
          <t>HelloFresh</t>
        </is>
      </c>
      <c r="C63" s="23" t="inlineStr">
        <is>
          <t>https://job-boards.greenhouse.io/hellofresh</t>
        </is>
      </c>
      <c r="D63" s="10" t="inlineStr">
        <is>
          <t>Yes</t>
        </is>
      </c>
      <c r="E63" s="10" t="inlineStr">
        <is>
          <t>Berlin. Meal kit unicorn, large data/ML org.</t>
        </is>
      </c>
      <c r="F63" s="10" t="n"/>
    </row>
    <row r="64">
      <c r="A64" s="10" t="n">
        <v>62</v>
      </c>
      <c r="B64" s="10" t="inlineStr">
        <is>
          <t>N26</t>
        </is>
      </c>
      <c r="C64" s="23" t="inlineStr">
        <is>
          <t>https://job-boards.greenhouse.io/n26</t>
        </is>
      </c>
      <c r="D64" s="10" t="inlineStr">
        <is>
          <t>Yes</t>
        </is>
      </c>
      <c r="E64" s="10" t="inlineStr">
        <is>
          <t>Berlin / Barcelona. Mobile bank, ~50 roles, ML &amp; risk.</t>
        </is>
      </c>
      <c r="F64" s="10" t="n"/>
    </row>
    <row r="65">
      <c r="A65" s="10" t="n">
        <v>63</v>
      </c>
      <c r="B65" s="10" t="inlineStr">
        <is>
          <t>Trade Republic</t>
        </is>
      </c>
      <c r="C65" s="23" t="inlineStr">
        <is>
          <t>https://job-boards.greenhouse.io/traderepublicbank</t>
        </is>
      </c>
      <c r="D65" s="10" t="inlineStr">
        <is>
          <t>Yes</t>
        </is>
      </c>
      <c r="E65" s="10" t="inlineStr">
        <is>
          <t>Berlin / London / Paris. Neobroker, ~50 roles, platform &amp; data.</t>
        </is>
      </c>
      <c r="F65" s="10" t="n"/>
    </row>
    <row r="66">
      <c r="A66" s="10" t="n">
        <v>64</v>
      </c>
      <c r="B66" s="10" t="inlineStr">
        <is>
          <t>SumUp</t>
        </is>
      </c>
      <c r="C66" s="23" t="inlineStr">
        <is>
          <t>https://job-boards.greenhouse.io/sumup</t>
        </is>
      </c>
      <c r="D66" s="10" t="inlineStr">
        <is>
          <t>No</t>
        </is>
      </c>
      <c r="E66" s="24" t="inlineStr">
        <is>
          <t>Berlin / London. Payments fintech, EU + LATAM hiring. OFFICE-FIRST — not remote. Flexible work case-by-case via interview. Excluded from scans (relocation friction + many duplicates).</t>
        </is>
      </c>
      <c r="F66" s="10" t="inlineStr">
        <is>
          <t>Excluded</t>
        </is>
      </c>
    </row>
    <row r="67">
      <c r="A67" s="10" t="n">
        <v>65</v>
      </c>
      <c r="B67" s="10" t="inlineStr">
        <is>
          <t>Qonto</t>
        </is>
      </c>
      <c r="C67" s="23" t="inlineStr">
        <is>
          <t>https://jobs.lever.co/qonto</t>
        </is>
      </c>
      <c r="D67" s="10" t="inlineStr">
        <is>
          <t>Yes</t>
        </is>
      </c>
      <c r="E67" s="10" t="inlineStr">
        <is>
          <t>Paris / Berlin / Barcelona / Milan. SMB neobank, MLOps for AI Product roles.</t>
        </is>
      </c>
      <c r="F67" s="10" t="n"/>
    </row>
    <row r="68">
      <c r="A68" s="10" t="n">
        <v>66</v>
      </c>
      <c r="B68" s="10" t="inlineStr">
        <is>
          <t>Forto</t>
        </is>
      </c>
      <c r="C68" s="23" t="inlineStr">
        <is>
          <t>https://jobs.lever.co/forto</t>
        </is>
      </c>
      <c r="D68" s="10" t="inlineStr">
        <is>
          <t>Yes</t>
        </is>
      </c>
      <c r="E68" s="10" t="inlineStr">
        <is>
          <t>Berlin DE. Digital freight forwarder, product &amp; data roles, German + English.</t>
        </is>
      </c>
      <c r="F68" s="10" t="n"/>
    </row>
    <row r="69">
      <c r="A69" s="10" t="n">
        <v>67</v>
      </c>
      <c r="B69" s="10" t="inlineStr">
        <is>
          <t>Lakera</t>
        </is>
      </c>
      <c r="C69" s="23" t="inlineStr">
        <is>
          <t>https://jobs.ashbyhq.com/lakera.ai</t>
        </is>
      </c>
      <c r="D69" s="10" t="inlineStr">
        <is>
          <t>Yes</t>
        </is>
      </c>
      <c r="E69" s="10" t="inlineStr">
        <is>
          <t>Zurich CH / SF. AI security &amp; guardrails. Has Forward Deployed Engineer roles.</t>
        </is>
      </c>
      <c r="F69" s="10" t="n"/>
    </row>
    <row r="70">
      <c r="A70" s="10" t="n">
        <v>68</v>
      </c>
      <c r="B70" s="10" t="inlineStr">
        <is>
          <t>Scandit</t>
        </is>
      </c>
      <c r="C70" s="23" t="inlineStr">
        <is>
          <t>https://job-boards.greenhouse.io/scandit</t>
        </is>
      </c>
      <c r="D70" s="10" t="inlineStr">
        <is>
          <t>Yes</t>
        </is>
      </c>
      <c r="E70" s="10" t="inlineStr">
        <is>
          <t>Zurich CH. Computer vision / smart data capture, ML roles.</t>
        </is>
      </c>
      <c r="F70" s="10" t="n"/>
    </row>
    <row r="71">
      <c r="A71" s="10" t="n">
        <v>69</v>
      </c>
      <c r="B71" s="10" t="inlineStr">
        <is>
          <t>Cradle</t>
        </is>
      </c>
      <c r="C71" s="23" t="inlineStr">
        <is>
          <t>https://jobs.ashbyhq.com/cradlebio</t>
        </is>
      </c>
      <c r="D71" s="10" t="inlineStr">
        <is>
          <t>Yes</t>
        </is>
      </c>
      <c r="E71" s="10" t="inlineStr">
        <is>
          <t>Zurich CH / Amsterdam. AI-guided protein design, ML researcher roles.</t>
        </is>
      </c>
      <c r="F71" s="10" t="n"/>
    </row>
    <row r="72">
      <c r="A72" s="10" t="n">
        <v>70</v>
      </c>
      <c r="B72" s="10" t="inlineStr">
        <is>
          <t>Hugging Face</t>
        </is>
      </c>
      <c r="C72" s="23" t="inlineStr">
        <is>
          <t>https://apply.workable.com/huggingface/</t>
        </is>
      </c>
      <c r="D72" s="10" t="inlineStr">
        <is>
          <t>Yes</t>
        </is>
      </c>
      <c r="E72" s="10" t="inlineStr">
        <is>
          <t>Paris / NYC / Remote. ML hub &amp; open-source models.</t>
        </is>
      </c>
      <c r="F72" s="10" t="n"/>
    </row>
    <row r="73">
      <c r="A73" s="10" t="n">
        <v>71</v>
      </c>
      <c r="B73" s="10" t="inlineStr">
        <is>
          <t>Photoroom</t>
        </is>
      </c>
      <c r="C73" s="23" t="inlineStr">
        <is>
          <t>https://jobs.ashbyhq.com/photoroom</t>
        </is>
      </c>
      <c r="D73" s="10" t="inlineStr">
        <is>
          <t>Yes</t>
        </is>
      </c>
      <c r="E73" s="10" t="inlineStr">
        <is>
          <t>Paris FR. AI photo editor, Head of CV / Head of ML roles.</t>
        </is>
      </c>
      <c r="F73" s="10" t="n"/>
    </row>
    <row r="74">
      <c r="A74" s="10" t="n">
        <v>72</v>
      </c>
      <c r="B74" s="10" t="inlineStr">
        <is>
          <t>Pigment</t>
        </is>
      </c>
      <c r="C74" s="23" t="inlineStr">
        <is>
          <t>https://jobs.lever.co/pigment</t>
        </is>
      </c>
      <c r="D74" s="10" t="inlineStr">
        <is>
          <t>Yes</t>
        </is>
      </c>
      <c r="E74" s="10" t="inlineStr">
        <is>
          <t>Paris FR / NYC / London. AI-powered FP&amp;A planning platform.</t>
        </is>
      </c>
      <c r="F74" s="10" t="n"/>
    </row>
    <row r="75">
      <c r="A75" s="10" t="n">
        <v>73</v>
      </c>
      <c r="B75" s="10" t="inlineStr">
        <is>
          <t>Wayve</t>
        </is>
      </c>
      <c r="C75" s="23" t="inlineStr">
        <is>
          <t>https://job-boards.greenhouse.io/wayve</t>
        </is>
      </c>
      <c r="D75" s="10" t="inlineStr">
        <is>
          <t>No</t>
        </is>
      </c>
      <c r="E75" s="24" t="inlineStr">
        <is>
          <t>London UK / Tokyo. Self-driving AV — hardware/automotive/embedded stack (C/C++, Linux BSP, Yocto, QNX, AUTOSAR, SoC bring-up). NOT relevant to user's web/backend profile. Excluded from scans.</t>
        </is>
      </c>
      <c r="F75" s="10" t="inlineStr">
        <is>
          <t>Excluded</t>
        </is>
      </c>
    </row>
    <row r="76">
      <c r="A76" s="10" t="n">
        <v>74</v>
      </c>
      <c r="B76" s="10" t="inlineStr">
        <is>
          <t>Isomorphic Labs</t>
        </is>
      </c>
      <c r="C76" s="23" t="inlineStr">
        <is>
          <t>https://job-boards.greenhouse.io/isomorphiclabs</t>
        </is>
      </c>
      <c r="D76" s="10" t="inlineStr">
        <is>
          <t>Yes</t>
        </is>
      </c>
      <c r="E76" s="10" t="inlineStr">
        <is>
          <t>London / Lausanne / Cambridge MA. DeepMind spin-out for drug discovery AI.</t>
        </is>
      </c>
      <c r="F76" s="10" t="n"/>
    </row>
    <row r="77">
      <c r="A77" s="10" t="n">
        <v>75</v>
      </c>
      <c r="B77" s="10" t="inlineStr">
        <is>
          <t>PhysicsX</t>
        </is>
      </c>
      <c r="C77" s="23" t="inlineStr">
        <is>
          <t>https://job-boards.greenhouse.io/physicsx</t>
        </is>
      </c>
      <c r="D77" s="10" t="inlineStr">
        <is>
          <t>Yes</t>
        </is>
      </c>
      <c r="E77" s="10" t="inlineStr">
        <is>
          <t>London UK. Physics-informed ML for engineering, ~40 roles.</t>
        </is>
      </c>
      <c r="F77" s="10" t="n"/>
    </row>
    <row r="78">
      <c r="A78" s="10" t="n">
        <v>76</v>
      </c>
      <c r="B78" s="10" t="inlineStr">
        <is>
          <t>Stability AI</t>
        </is>
      </c>
      <c r="C78" s="23" t="inlineStr">
        <is>
          <t>https://job-boards.greenhouse.io/stabilityai</t>
        </is>
      </c>
      <c r="D78" s="10" t="inlineStr">
        <is>
          <t>Yes</t>
        </is>
      </c>
      <c r="E78" s="10" t="inlineStr">
        <is>
          <t>London / SF. Generative AI image/video research lab.</t>
        </is>
      </c>
      <c r="F78" s="10" t="n"/>
    </row>
    <row r="79">
      <c r="A79" s="10" t="n">
        <v>77</v>
      </c>
      <c r="B79" s="10" t="inlineStr">
        <is>
          <t>Synthesia</t>
        </is>
      </c>
      <c r="C79" s="23" t="inlineStr">
        <is>
          <t>https://jobs.ashbyhq.com/synthesia</t>
        </is>
      </c>
      <c r="D79" s="10" t="inlineStr">
        <is>
          <t>Yes</t>
        </is>
      </c>
      <c r="E79" s="10" t="inlineStr">
        <is>
          <t>London UK. AI video generation for enterprise, $4B valuation.</t>
        </is>
      </c>
      <c r="F79" s="10" t="n"/>
    </row>
    <row r="80">
      <c r="A80" s="10" t="n">
        <v>78</v>
      </c>
      <c r="B80" s="10" t="inlineStr">
        <is>
          <t>Faculty</t>
        </is>
      </c>
      <c r="C80" s="23" t="inlineStr">
        <is>
          <t>https://jobs.ashbyhq.com/faculty</t>
        </is>
      </c>
      <c r="D80" s="10" t="inlineStr">
        <is>
          <t>Yes</t>
        </is>
      </c>
      <c r="E80" s="10" t="inlineStr">
        <is>
          <t>London UK. Applied AI consultancy. 80+ roles, AI Safety / MLE / Delivery.</t>
        </is>
      </c>
      <c r="F80" s="10" t="n"/>
    </row>
    <row r="81">
      <c r="A81" s="10" t="n">
        <v>79</v>
      </c>
      <c r="B81" s="10" t="inlineStr">
        <is>
          <t>Causaly</t>
        </is>
      </c>
      <c r="C81" s="23" t="inlineStr">
        <is>
          <t>https://jobs.ashbyhq.com/causaly</t>
        </is>
      </c>
      <c r="D81" s="10" t="inlineStr">
        <is>
          <t>Yes</t>
        </is>
      </c>
      <c r="E81" s="10" t="inlineStr">
        <is>
          <t>London / Athens. Biomedical knowledge graph + AI.</t>
        </is>
      </c>
      <c r="F81" s="10" t="n"/>
    </row>
    <row r="82">
      <c r="A82" s="10" t="n">
        <v>80</v>
      </c>
      <c r="B82" s="10" t="inlineStr">
        <is>
          <t>Lovable</t>
        </is>
      </c>
      <c r="C82" s="23" t="inlineStr">
        <is>
          <t>https://jobs.ashbyhq.com/lovable</t>
        </is>
      </c>
      <c r="D82" s="10" t="inlineStr">
        <is>
          <t>Yes</t>
        </is>
      </c>
      <c r="E82" s="10" t="inlineStr">
        <is>
          <t>Stockholm SE. AI app builder (text-to-app), 80+ open roles.</t>
        </is>
      </c>
      <c r="F82" s="10" t="n"/>
    </row>
    <row r="83">
      <c r="A83" s="10" t="n">
        <v>81</v>
      </c>
      <c r="B83" s="10" t="inlineStr">
        <is>
          <t>Legora</t>
        </is>
      </c>
      <c r="C83" s="23" t="inlineStr">
        <is>
          <t>https://jobs.ashbyhq.com/legora</t>
        </is>
      </c>
      <c r="D83" s="10" t="inlineStr">
        <is>
          <t>Yes</t>
        </is>
      </c>
      <c r="E83" s="10" t="inlineStr">
        <is>
          <t>Stockholm SE / NYC / London. AI-native legal workspace.</t>
        </is>
      </c>
      <c r="F83" s="10" t="n"/>
    </row>
    <row r="84">
      <c r="A84" s="10" t="n">
        <v>82</v>
      </c>
      <c r="B84" s="10" t="inlineStr">
        <is>
          <t>Spotify</t>
        </is>
      </c>
      <c r="C84" s="23" t="inlineStr">
        <is>
          <t>https://jobs.lever.co/spotify</t>
        </is>
      </c>
      <c r="D84" s="10" t="inlineStr">
        <is>
          <t>Yes</t>
        </is>
      </c>
      <c r="E84" s="10" t="inlineStr">
        <is>
          <t>Stockholm SE / NYC / London. Audio platform, large ML/personalization org.</t>
        </is>
      </c>
      <c r="F84" s="10" t="n"/>
    </row>
    <row r="85">
      <c r="A85" s="10" t="n">
        <v>83</v>
      </c>
      <c r="B85" s="10" t="inlineStr">
        <is>
          <t>Vinted</t>
        </is>
      </c>
      <c r="C85" s="23" t="inlineStr">
        <is>
          <t>https://jobs.lever.co/vinted</t>
        </is>
      </c>
      <c r="D85" s="10" t="inlineStr">
        <is>
          <t>Yes</t>
        </is>
      </c>
      <c r="E85" s="10" t="inlineStr">
        <is>
          <t>Vilnius LT / Berlin. C2C marketplace unicorn, data science &amp; ML roles.</t>
        </is>
      </c>
      <c r="F85" s="10" t="n"/>
    </row>
    <row r="86">
      <c r="A86" s="10" t="n">
        <v>84</v>
      </c>
      <c r="B86" s="10" t="inlineStr">
        <is>
          <t>Amplemarket</t>
        </is>
      </c>
      <c r="C86" s="23" t="inlineStr">
        <is>
          <t>https://job-boards.greenhouse.io/amplemarket</t>
        </is>
      </c>
      <c r="D86" s="10" t="inlineStr">
        <is>
          <t>Yes</t>
        </is>
      </c>
      <c r="E86" s="10" t="inlineStr">
        <is>
          <t>Lisbon PT / Remote. AI-native sales platform.</t>
        </is>
      </c>
      <c r="F86" s="10" t="n"/>
    </row>
    <row r="87">
      <c r="A87" s="10" t="n">
        <v>85</v>
      </c>
      <c r="B87" s="10" t="inlineStr">
        <is>
          <t>Perplexity</t>
        </is>
      </c>
      <c r="C87" s="23" t="inlineStr">
        <is>
          <t>https://jobs.ashbyhq.com/perplexity</t>
        </is>
      </c>
      <c r="D87" s="10" t="inlineStr">
        <is>
          <t>Yes</t>
        </is>
      </c>
      <c r="E87" s="10" t="inlineStr">
        <is>
          <t>AI-native search and enterprise AI platform.</t>
        </is>
      </c>
      <c r="F87" s="10" t="n"/>
    </row>
    <row r="88">
      <c r="A88" s="10" t="n">
        <v>86</v>
      </c>
      <c r="B88" s="10" t="inlineStr">
        <is>
          <t>Clay Labs</t>
        </is>
      </c>
      <c r="C88" s="23" t="inlineStr">
        <is>
          <t>https://jobs.ashbyhq.com/claylabs</t>
        </is>
      </c>
      <c r="D88" s="10" t="inlineStr">
        <is>
          <t>Yes</t>
        </is>
      </c>
      <c r="E88" s="10" t="inlineStr">
        <is>
          <t>AI-native GTM and workflow automation platform.</t>
        </is>
      </c>
      <c r="F88" s="10" t="n"/>
    </row>
    <row r="89">
      <c r="A89" s="10" t="n">
        <v>87</v>
      </c>
      <c r="B89" s="10" t="inlineStr">
        <is>
          <t>Runway</t>
        </is>
      </c>
      <c r="C89" s="23" t="inlineStr">
        <is>
          <t>https://job-boards.greenhouse.io/runwayml</t>
        </is>
      </c>
      <c r="D89" s="10" t="inlineStr">
        <is>
          <t>Yes</t>
        </is>
      </c>
      <c r="E89" s="10" t="inlineStr">
        <is>
          <t>Generative AI video and creative tooling platform.</t>
        </is>
      </c>
      <c r="F89" s="10" t="n"/>
    </row>
    <row r="90">
      <c r="A90" s="10" t="n">
        <v>88</v>
      </c>
      <c r="B90" s="10" t="inlineStr">
        <is>
          <t>Hightouch</t>
        </is>
      </c>
      <c r="C90" s="23" t="inlineStr">
        <is>
          <t>https://job-boards.greenhouse.io/hightouch</t>
        </is>
      </c>
      <c r="D90" s="10" t="inlineStr">
        <is>
          <t>Yes</t>
        </is>
      </c>
      <c r="E90" s="10" t="inlineStr">
        <is>
          <t>Data activation platform with AI agents and solutions engineering roles.</t>
        </is>
      </c>
      <c r="F90" s="10" t="n"/>
    </row>
    <row r="91">
      <c r="A91" s="10" t="n">
        <v>89</v>
      </c>
      <c r="B91" s="10" t="inlineStr">
        <is>
          <t>WorkOS</t>
        </is>
      </c>
      <c r="C91" s="23" t="inlineStr">
        <is>
          <t>https://jobs.ashbyhq.com/workos</t>
        </is>
      </c>
      <c r="D91" s="10" t="inlineStr">
        <is>
          <t>Yes</t>
        </is>
      </c>
      <c r="E91" s="10" t="inlineStr">
        <is>
          <t>Developer tools and enterprise-ready auth/platform APIs.</t>
        </is>
      </c>
      <c r="F91" s="10" t="n"/>
    </row>
    <row r="92">
      <c r="A92" s="10" t="n">
        <v>90</v>
      </c>
      <c r="B92" s="10" t="inlineStr">
        <is>
          <t>Supabase</t>
        </is>
      </c>
      <c r="C92" s="23" t="inlineStr">
        <is>
          <t>https://jobs.ashbyhq.com/supabase</t>
        </is>
      </c>
      <c r="D92" s="10" t="inlineStr">
        <is>
          <t>Yes</t>
        </is>
      </c>
      <c r="E92" s="10" t="inlineStr">
        <is>
          <t>Open-source Firebase alternative. Remote-first. Postgres + Auth + Storage. Strong DevRel/DX hiring.</t>
        </is>
      </c>
      <c r="F92" s="10" t="n"/>
    </row>
    <row r="93">
      <c r="A93" s="10" t="n">
        <v>91</v>
      </c>
      <c r="B93" s="10" t="inlineStr">
        <is>
          <t>Resend</t>
        </is>
      </c>
      <c r="C93" s="23" t="inlineStr">
        <is>
          <t>https://jobs.ashbyhq.com/resend</t>
        </is>
      </c>
      <c r="D93" s="10" t="inlineStr">
        <is>
          <t>Yes</t>
        </is>
      </c>
      <c r="E93" s="10" t="inlineStr">
        <is>
          <t>Email API for developers. Remote-first. DX/DevRel focused.</t>
        </is>
      </c>
      <c r="F93" s="10" t="n"/>
    </row>
    <row r="94">
      <c r="A94" s="10" t="n">
        <v>92</v>
      </c>
      <c r="B94" s="10" t="inlineStr">
        <is>
          <t>Clerk</t>
        </is>
      </c>
      <c r="C94" s="23" t="inlineStr">
        <is>
          <t>https://jobs.ashbyhq.com/clerk</t>
        </is>
      </c>
      <c r="D94" s="10" t="inlineStr">
        <is>
          <t>Yes</t>
        </is>
      </c>
      <c r="E94" s="10" t="inlineStr">
        <is>
          <t>Auth &amp; user management for developers. SE / TAM / PM roles.</t>
        </is>
      </c>
      <c r="F94" s="10" t="n"/>
    </row>
    <row r="95">
      <c r="A95" s="10" t="n">
        <v>93</v>
      </c>
      <c r="B95" s="10" t="inlineStr">
        <is>
          <t>Inngest</t>
        </is>
      </c>
      <c r="C95" s="23" t="inlineStr">
        <is>
          <t>https://jobs.ashbyhq.com/inngest</t>
        </is>
      </c>
      <c r="D95" s="10" t="inlineStr">
        <is>
          <t>Yes</t>
        </is>
      </c>
      <c r="E95" s="10" t="inlineStr">
        <is>
          <t>Durable workflow engine for serverless. DX/DevRel/Engineering hiring.</t>
        </is>
      </c>
      <c r="F95" s="10" t="n"/>
    </row>
    <row r="96">
      <c r="A96" s="10" t="n">
        <v>94</v>
      </c>
      <c r="B96" s="10" t="inlineStr">
        <is>
          <t>PlanetScale</t>
        </is>
      </c>
      <c r="C96" s="23" t="inlineStr">
        <is>
          <t>https://job-boards.greenhouse.io/planetscale</t>
        </is>
      </c>
      <c r="D96" s="10" t="inlineStr">
        <is>
          <t>Yes</t>
        </is>
      </c>
      <c r="E96" s="10" t="inlineStr">
        <is>
          <t>Serverless MySQL platform. Customer Engineering, Engineering, Sales.</t>
        </is>
      </c>
      <c r="F96" s="10" t="n"/>
    </row>
    <row r="97">
      <c r="A97" s="10" t="n">
        <v>95</v>
      </c>
      <c r="B97" s="10" t="inlineStr">
        <is>
          <t>Zep AI</t>
        </is>
      </c>
      <c r="C97" s="23" t="inlineStr">
        <is>
          <t>https://www.getzep.com/careers</t>
        </is>
      </c>
      <c r="D97" s="10" t="inlineStr">
        <is>
          <t>Yes</t>
        </is>
      </c>
      <c r="E97" s="10" t="inlineStr">
        <is>
          <t>Context engineering platform for AI agents. YC W24. Lead FDE + DevRel Lead roles. US-only currently.</t>
        </is>
      </c>
      <c r="F97" s="10" t="n"/>
    </row>
    <row r="98">
      <c r="A98" s="10" t="n">
        <v>96</v>
      </c>
      <c r="B98" s="10" t="inlineStr">
        <is>
          <t>Maxim AI</t>
        </is>
      </c>
      <c r="C98" s="23" t="inlineStr">
        <is>
          <t>https://www.getmaxim.ai/careers</t>
        </is>
      </c>
      <c r="D98" s="10" t="inlineStr">
        <is>
          <t>Yes</t>
        </is>
      </c>
      <c r="E98" s="10" t="inlineStr">
        <is>
          <t>AI evaluation and observability platform. Bangalore-based, mostly on-site.</t>
        </is>
      </c>
      <c r="F98" s="10" t="n"/>
    </row>
  </sheetData>
  <mergeCells count="1">
    <mergeCell ref="A1:F1"/>
  </mergeCells>
  <dataValidations count="2">
    <dataValidation sqref="F10:F98" showDropDown="0" showInputMessage="0" showErrorMessage="0" allowBlank="1" type="list">
      <formula1>"Interested,Applied,Watching,Not for me"</formula1>
    </dataValidation>
    <dataValidation sqref="F3:F98" showDropDown="0" showInputMessage="0" showErrorMessage="0" allowBlank="1" type="list">
      <formula1>"Interested,Applied,Watching,Not for me"</formula1>
    </dataValidation>
  </dataValidation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3" r:id="rId51"/>
    <hyperlink xmlns:r="http://schemas.openxmlformats.org/officeDocument/2006/relationships" ref="C54" r:id="rId52"/>
    <hyperlink xmlns:r="http://schemas.openxmlformats.org/officeDocument/2006/relationships" ref="C55" r:id="rId53"/>
    <hyperlink xmlns:r="http://schemas.openxmlformats.org/officeDocument/2006/relationships" ref="C56" r:id="rId54"/>
    <hyperlink xmlns:r="http://schemas.openxmlformats.org/officeDocument/2006/relationships" ref="C57" r:id="rId55"/>
    <hyperlink xmlns:r="http://schemas.openxmlformats.org/officeDocument/2006/relationships" ref="C58" r:id="rId56"/>
    <hyperlink xmlns:r="http://schemas.openxmlformats.org/officeDocument/2006/relationships" ref="C59" r:id="rId57"/>
    <hyperlink xmlns:r="http://schemas.openxmlformats.org/officeDocument/2006/relationships" ref="C60" r:id="rId58"/>
    <hyperlink xmlns:r="http://schemas.openxmlformats.org/officeDocument/2006/relationships" ref="C61" r:id="rId59"/>
    <hyperlink xmlns:r="http://schemas.openxmlformats.org/officeDocument/2006/relationships" ref="C62" r:id="rId60"/>
    <hyperlink xmlns:r="http://schemas.openxmlformats.org/officeDocument/2006/relationships" ref="C63" r:id="rId61"/>
    <hyperlink xmlns:r="http://schemas.openxmlformats.org/officeDocument/2006/relationships" ref="C64" r:id="rId62"/>
    <hyperlink xmlns:r="http://schemas.openxmlformats.org/officeDocument/2006/relationships" ref="C65" r:id="rId63"/>
    <hyperlink xmlns:r="http://schemas.openxmlformats.org/officeDocument/2006/relationships" ref="C66" r:id="rId64"/>
    <hyperlink xmlns:r="http://schemas.openxmlformats.org/officeDocument/2006/relationships" ref="C67" r:id="rId65"/>
    <hyperlink xmlns:r="http://schemas.openxmlformats.org/officeDocument/2006/relationships" ref="C68" r:id="rId66"/>
    <hyperlink xmlns:r="http://schemas.openxmlformats.org/officeDocument/2006/relationships" ref="C69" r:id="rId67"/>
    <hyperlink xmlns:r="http://schemas.openxmlformats.org/officeDocument/2006/relationships" ref="C70" r:id="rId68"/>
    <hyperlink xmlns:r="http://schemas.openxmlformats.org/officeDocument/2006/relationships" ref="C71" r:id="rId69"/>
    <hyperlink xmlns:r="http://schemas.openxmlformats.org/officeDocument/2006/relationships" ref="C72" r:id="rId70"/>
    <hyperlink xmlns:r="http://schemas.openxmlformats.org/officeDocument/2006/relationships" ref="C73" r:id="rId71"/>
    <hyperlink xmlns:r="http://schemas.openxmlformats.org/officeDocument/2006/relationships" ref="C74" r:id="rId72"/>
    <hyperlink xmlns:r="http://schemas.openxmlformats.org/officeDocument/2006/relationships" ref="C75" r:id="rId73"/>
    <hyperlink xmlns:r="http://schemas.openxmlformats.org/officeDocument/2006/relationships" ref="C76" r:id="rId74"/>
    <hyperlink xmlns:r="http://schemas.openxmlformats.org/officeDocument/2006/relationships" ref="C77" r:id="rId75"/>
    <hyperlink xmlns:r="http://schemas.openxmlformats.org/officeDocument/2006/relationships" ref="C78" r:id="rId76"/>
    <hyperlink xmlns:r="http://schemas.openxmlformats.org/officeDocument/2006/relationships" ref="C79" r:id="rId77"/>
    <hyperlink xmlns:r="http://schemas.openxmlformats.org/officeDocument/2006/relationships" ref="C80" r:id="rId78"/>
    <hyperlink xmlns:r="http://schemas.openxmlformats.org/officeDocument/2006/relationships" ref="C81" r:id="rId79"/>
    <hyperlink xmlns:r="http://schemas.openxmlformats.org/officeDocument/2006/relationships" ref="C82" r:id="rId80"/>
    <hyperlink xmlns:r="http://schemas.openxmlformats.org/officeDocument/2006/relationships" ref="C83" r:id="rId81"/>
    <hyperlink xmlns:r="http://schemas.openxmlformats.org/officeDocument/2006/relationships" ref="C84" r:id="rId82"/>
    <hyperlink xmlns:r="http://schemas.openxmlformats.org/officeDocument/2006/relationships" ref="C85" r:id="rId83"/>
    <hyperlink xmlns:r="http://schemas.openxmlformats.org/officeDocument/2006/relationships" ref="C86" r:id="rId84"/>
    <hyperlink xmlns:r="http://schemas.openxmlformats.org/officeDocument/2006/relationships" ref="C87" r:id="rId85"/>
    <hyperlink xmlns:r="http://schemas.openxmlformats.org/officeDocument/2006/relationships" ref="C88" r:id="rId86"/>
    <hyperlink xmlns:r="http://schemas.openxmlformats.org/officeDocument/2006/relationships" ref="C89" r:id="rId87"/>
    <hyperlink xmlns:r="http://schemas.openxmlformats.org/officeDocument/2006/relationships" ref="C90" r:id="rId88"/>
    <hyperlink xmlns:r="http://schemas.openxmlformats.org/officeDocument/2006/relationships" ref="C91" r:id="rId89"/>
    <hyperlink xmlns:r="http://schemas.openxmlformats.org/officeDocument/2006/relationships" ref="C92" r:id="rId90"/>
    <hyperlink xmlns:r="http://schemas.openxmlformats.org/officeDocument/2006/relationships" ref="C93" r:id="rId91"/>
    <hyperlink xmlns:r="http://schemas.openxmlformats.org/officeDocument/2006/relationships" ref="C94" r:id="rId92"/>
    <hyperlink xmlns:r="http://schemas.openxmlformats.org/officeDocument/2006/relationships" ref="C95" r:id="rId93"/>
    <hyperlink xmlns:r="http://schemas.openxmlformats.org/officeDocument/2006/relationships" ref="C96" r:id="rId94"/>
    <hyperlink xmlns:r="http://schemas.openxmlformats.org/officeDocument/2006/relationships" ref="C97" r:id="rId95"/>
    <hyperlink xmlns:r="http://schemas.openxmlformats.org/officeDocument/2006/relationships" ref="C98" r:id="rId9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zoomScale="100" zoomScaleNormal="100" workbookViewId="0">
      <selection activeCell="A1" sqref="A1"/>
    </sheetView>
  </sheetViews>
  <sheetFormatPr baseColWidth="8" defaultRowHeight="15" outlineLevelRow="0"/>
  <cols>
    <col width="25.28571428571428" customWidth="1" style="1" min="1" max="1"/>
    <col width="55" customWidth="1" style="1" min="2" max="2"/>
    <col width="25.42857142857143" customWidth="1" style="1" min="3" max="3"/>
  </cols>
  <sheetData>
    <row r="1">
      <c r="A1" s="5" t="inlineStr">
        <is>
          <t>Application Status — Canonical States (career-ops)</t>
        </is>
      </c>
    </row>
    <row r="2">
      <c r="A2" s="7" t="inlineStr">
        <is>
          <t>Status</t>
        </is>
      </c>
      <c r="B2" s="7" t="inlineStr">
        <is>
          <t>Description</t>
        </is>
      </c>
      <c r="C2" s="7" t="inlineStr">
        <is>
          <t>Group</t>
        </is>
      </c>
    </row>
    <row r="3">
      <c r="A3" s="8" t="inlineStr">
        <is>
          <t>Wishlist</t>
        </is>
      </c>
      <c r="B3" s="8" t="inlineStr">
        <is>
          <t>Saved on Wishlist sheet, not yet applied</t>
        </is>
      </c>
      <c r="C3" s="8" t="inlineStr">
        <is>
          <t>wishlist</t>
        </is>
      </c>
    </row>
    <row r="4">
      <c r="A4" s="8" t="inlineStr">
        <is>
          <t>Evaluated</t>
        </is>
      </c>
      <c r="B4" s="8" t="inlineStr">
        <is>
          <t>Offer evaluated with report, pending decision</t>
        </is>
      </c>
      <c r="C4" s="8" t="inlineStr">
        <is>
          <t>evaluated</t>
        </is>
      </c>
    </row>
    <row r="5">
      <c r="A5" s="8" t="inlineStr">
        <is>
          <t>Applied</t>
        </is>
      </c>
      <c r="B5" s="8" t="inlineStr">
        <is>
          <t>Application submitted</t>
        </is>
      </c>
      <c r="C5" s="8" t="inlineStr">
        <is>
          <t>applied</t>
        </is>
      </c>
    </row>
    <row r="6">
      <c r="A6" s="8" t="inlineStr">
        <is>
          <t>Responded</t>
        </is>
      </c>
      <c r="B6" s="8" t="inlineStr">
        <is>
          <t>Company has responded (not yet interview)</t>
        </is>
      </c>
      <c r="C6" s="8" t="inlineStr">
        <is>
          <t>responded</t>
        </is>
      </c>
    </row>
    <row r="7">
      <c r="A7" s="8" t="inlineStr">
        <is>
          <t>Interview</t>
        </is>
      </c>
      <c r="B7" s="8" t="inlineStr">
        <is>
          <t>Active interview process</t>
        </is>
      </c>
      <c r="C7" s="8" t="inlineStr">
        <is>
          <t>interview</t>
        </is>
      </c>
    </row>
    <row r="8">
      <c r="A8" s="8" t="inlineStr">
        <is>
          <t>Offer</t>
        </is>
      </c>
      <c r="B8" s="8" t="inlineStr">
        <is>
          <t>Offer received</t>
        </is>
      </c>
      <c r="C8" s="8" t="inlineStr">
        <is>
          <t>offer</t>
        </is>
      </c>
    </row>
    <row r="9">
      <c r="A9" s="8" t="inlineStr">
        <is>
          <t>Rejected</t>
        </is>
      </c>
      <c r="B9" s="8" t="inlineStr">
        <is>
          <t>Rejected by company</t>
        </is>
      </c>
      <c r="C9" s="8" t="inlineStr">
        <is>
          <t>rejected</t>
        </is>
      </c>
    </row>
    <row r="10">
      <c r="A10" s="8" t="inlineStr">
        <is>
          <t>Discarded</t>
        </is>
      </c>
      <c r="B10" s="8" t="inlineStr">
        <is>
          <t>Discarded by candidate or offer closed</t>
        </is>
      </c>
      <c r="C10" s="8" t="inlineStr">
        <is>
          <t>discarded</t>
        </is>
      </c>
    </row>
    <row r="11">
      <c r="A11" s="8" t="inlineStr">
        <is>
          <t>SKIP</t>
        </is>
      </c>
      <c r="B11" s="8" t="inlineStr">
        <is>
          <t>Doesn't fit, don't apply</t>
        </is>
      </c>
      <c r="C11" s="8" t="inlineStr">
        <is>
          <t>skip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2026-05-06T09:30:59Z</dcterms:created>
  <dcterms:modified xsi:type="dcterms:W3CDTF">2026-05-07T08:16:18Z</dcterms:modified>
  <cp:lastModifiedBy>Unknown</cp:lastModifiedBy>
</cp:coreProperties>
</file>